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cripts\input_files\"/>
    </mc:Choice>
  </mc:AlternateContent>
  <xr:revisionPtr revIDLastSave="0" documentId="13_ncr:1_{4B62E353-8B57-4DF3-A04E-9E9408023172}" xr6:coauthVersionLast="47" xr6:coauthVersionMax="47" xr10:uidLastSave="{00000000-0000-0000-0000-000000000000}"/>
  <bookViews>
    <workbookView xWindow="-120" yWindow="-120" windowWidth="20730" windowHeight="11760" xr2:uid="{00000000-000D-0000-FFFF-FFFF00000000}"/>
  </bookViews>
  <sheets>
    <sheet name="Sheet1" sheetId="1" r:id="rId1"/>
    <sheet name="Sheet4" sheetId="5" r:id="rId2"/>
    <sheet name="Sheet2" sheetId="2" r:id="rId3"/>
    <sheet name="Sheet3" sheetId="4" r:id="rId4"/>
  </sheets>
  <definedNames>
    <definedName name="_xlnm._FilterDatabase" localSheetId="0" hidden="1">Sheet1!$A$1:$L$178</definedName>
    <definedName name="Slicer_DM_s">#N/A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5" l="1"/>
  <c r="P2" i="1" l="1"/>
</calcChain>
</file>

<file path=xl/sharedStrings.xml><?xml version="1.0" encoding="utf-8"?>
<sst xmlns="http://schemas.openxmlformats.org/spreadsheetml/2006/main" count="2605" uniqueCount="919">
  <si>
    <t>S.No</t>
  </si>
  <si>
    <t>Market</t>
  </si>
  <si>
    <t>Store Name</t>
  </si>
  <si>
    <t xml:space="preserve"> store ID</t>
  </si>
  <si>
    <t>Store Address</t>
  </si>
  <si>
    <t>Dealer code</t>
  </si>
  <si>
    <t>Status</t>
  </si>
  <si>
    <t>PUREHOU100</t>
  </si>
  <si>
    <t>PUREHOU101</t>
  </si>
  <si>
    <t>PUREHOU102</t>
  </si>
  <si>
    <t>PUREHOU105</t>
  </si>
  <si>
    <t>PUREHOU106</t>
  </si>
  <si>
    <t>PUREHOU107</t>
  </si>
  <si>
    <t>PUREHOU108</t>
  </si>
  <si>
    <t>PUREHOU039</t>
  </si>
  <si>
    <t>Aldine</t>
  </si>
  <si>
    <t>PUREHOU024</t>
  </si>
  <si>
    <t>5355 Aldine Mail Route</t>
  </si>
  <si>
    <t>7444 tidwell</t>
  </si>
  <si>
    <t>PUREHOU027</t>
  </si>
  <si>
    <t>7444 West Tidwell Road Suite B</t>
  </si>
  <si>
    <t>Lyons</t>
  </si>
  <si>
    <t>PUREHOU028</t>
  </si>
  <si>
    <t>6715 Lyons Avenue Suite B</t>
  </si>
  <si>
    <t>Katy</t>
  </si>
  <si>
    <t>PUREHOU030</t>
  </si>
  <si>
    <t>3051 North Fry Road</t>
  </si>
  <si>
    <t>Fondren</t>
  </si>
  <si>
    <t>PUREHOU031</t>
  </si>
  <si>
    <t>5710 Fondren Road Suite D</t>
  </si>
  <si>
    <t>Airline</t>
  </si>
  <si>
    <t>PUREHOU032</t>
  </si>
  <si>
    <t>11130 Airline Drive</t>
  </si>
  <si>
    <t>7028 Antoine</t>
  </si>
  <si>
    <t>PUREHOU033</t>
  </si>
  <si>
    <t>7028 Antoine Drive</t>
  </si>
  <si>
    <t>5801 Main</t>
  </si>
  <si>
    <t>PUREHOU034</t>
  </si>
  <si>
    <t>5801 Antoine Drive Suite 102</t>
  </si>
  <si>
    <t>Rosenberg</t>
  </si>
  <si>
    <t>PUREHOU035</t>
  </si>
  <si>
    <t>5715 Reading Road Suite B</t>
  </si>
  <si>
    <t>920 E. Tidwell</t>
  </si>
  <si>
    <t>PUREHOU036</t>
  </si>
  <si>
    <t>920 East Tidwell Road</t>
  </si>
  <si>
    <t>Gessner</t>
  </si>
  <si>
    <t>PUREHOU037</t>
  </si>
  <si>
    <t>6811 South Gessner Road</t>
  </si>
  <si>
    <t>College</t>
  </si>
  <si>
    <t>PUREHOU038</t>
  </si>
  <si>
    <t>521 College Avenue</t>
  </si>
  <si>
    <t>PUREHOU040</t>
  </si>
  <si>
    <t>PUREHOU041</t>
  </si>
  <si>
    <t>7710 Bellaire Boulevard Suite C</t>
  </si>
  <si>
    <t>PUREHOU042</t>
  </si>
  <si>
    <t>11338 Chimney Rock Road</t>
  </si>
  <si>
    <t>319 New Tidwell</t>
  </si>
  <si>
    <t>PUREHOU043</t>
  </si>
  <si>
    <t>319 Tidwell Road D3</t>
  </si>
  <si>
    <t>Westheimer</t>
  </si>
  <si>
    <t>PUREHOU044</t>
  </si>
  <si>
    <t>10206 Westheimer Road</t>
  </si>
  <si>
    <t>Tomball</t>
  </si>
  <si>
    <t>PUREHOU045</t>
  </si>
  <si>
    <t>28418 State Highway 249 Suite B</t>
  </si>
  <si>
    <t>PUREHOU047</t>
  </si>
  <si>
    <t>777 Sheldon Road Suite I</t>
  </si>
  <si>
    <t>Spears</t>
  </si>
  <si>
    <t>PUREHOU053</t>
  </si>
  <si>
    <t>2128 Spears Road Suite 800</t>
  </si>
  <si>
    <t xml:space="preserve">8602 broadway </t>
  </si>
  <si>
    <t>PUREHOU059</t>
  </si>
  <si>
    <t>8602 Broadway Street</t>
  </si>
  <si>
    <t>Highlands</t>
  </si>
  <si>
    <t>PUREHOU061</t>
  </si>
  <si>
    <t>302 North Main Street Suite F</t>
  </si>
  <si>
    <t>Spencer</t>
  </si>
  <si>
    <t>PUREHOU063</t>
  </si>
  <si>
    <t>1618 Spencer Highway Suite B1</t>
  </si>
  <si>
    <t>6102 Bissonnet</t>
  </si>
  <si>
    <t>PUREHOU065</t>
  </si>
  <si>
    <t>6102 Bissonnet Street</t>
  </si>
  <si>
    <t>Briar Forest</t>
  </si>
  <si>
    <t>PUREHOU066</t>
  </si>
  <si>
    <t>11102 Briar Forest Suite C</t>
  </si>
  <si>
    <t>10950 Bissonnet</t>
  </si>
  <si>
    <t>PUREHOU067</t>
  </si>
  <si>
    <t>10950 Bissonnet Street Suite 280</t>
  </si>
  <si>
    <t>Crosby</t>
  </si>
  <si>
    <t>PUREHOU087</t>
  </si>
  <si>
    <t>105 Kennings Road Suite 13</t>
  </si>
  <si>
    <t>Baytown</t>
  </si>
  <si>
    <t>PUREHOU088</t>
  </si>
  <si>
    <t>1101 North Alexander Drive Suite 2</t>
  </si>
  <si>
    <t>Nederland</t>
  </si>
  <si>
    <t>PUREHOU089</t>
  </si>
  <si>
    <t>3526 Highway 365</t>
  </si>
  <si>
    <t>Memorial</t>
  </si>
  <si>
    <t>PUREHOU090</t>
  </si>
  <si>
    <t>2427 Memorial Boulevard</t>
  </si>
  <si>
    <t>Gulfway</t>
  </si>
  <si>
    <t>PUREHOU091</t>
  </si>
  <si>
    <t>4010 Gulfway Drive</t>
  </si>
  <si>
    <t>Strickland</t>
  </si>
  <si>
    <t>PUREHOU092</t>
  </si>
  <si>
    <t>821 Strickland Drive</t>
  </si>
  <si>
    <t>16Th St</t>
  </si>
  <si>
    <t>PUREHOU093</t>
  </si>
  <si>
    <t>1501 16th Street Suite B</t>
  </si>
  <si>
    <t>Prien Lake</t>
  </si>
  <si>
    <t>PUREHOU094</t>
  </si>
  <si>
    <t>301 West Prien Lake Road</t>
  </si>
  <si>
    <t>Gerstner</t>
  </si>
  <si>
    <t>PUREHOU095</t>
  </si>
  <si>
    <t>1717 Gerstner Memorial srive Suite C</t>
  </si>
  <si>
    <t>Leesville</t>
  </si>
  <si>
    <t>PUREHOU096</t>
  </si>
  <si>
    <t>1111 South 5th Street</t>
  </si>
  <si>
    <t>Sulphur</t>
  </si>
  <si>
    <t>PUREHOU097</t>
  </si>
  <si>
    <t>190 North Cities Service Highway Suite 3</t>
  </si>
  <si>
    <t>New Veterans</t>
  </si>
  <si>
    <t>PUREHOU098</t>
  </si>
  <si>
    <t>10201 Veterans Memorial Drive Suite A</t>
  </si>
  <si>
    <t>New Antoine</t>
  </si>
  <si>
    <t>PUREHOU099</t>
  </si>
  <si>
    <t>12228 Antoine Drive Suite D</t>
  </si>
  <si>
    <t>8119 Antoine</t>
  </si>
  <si>
    <t>PUREHOU111</t>
  </si>
  <si>
    <t>8119 Antoine DR</t>
  </si>
  <si>
    <t>Luffkin</t>
  </si>
  <si>
    <t>Lufkin-John</t>
  </si>
  <si>
    <t>PURELUF001</t>
  </si>
  <si>
    <t>3007 South John Redditt Drive</t>
  </si>
  <si>
    <t>Lufkin-Chestnut</t>
  </si>
  <si>
    <t>PURELUF002</t>
  </si>
  <si>
    <t>103 North Chestnut Street</t>
  </si>
  <si>
    <t>Nacogdoches-South</t>
  </si>
  <si>
    <t>PURELUF003</t>
  </si>
  <si>
    <t>1019 South Street</t>
  </si>
  <si>
    <t>Nacogdoches-North</t>
  </si>
  <si>
    <t>PURELUF004</t>
  </si>
  <si>
    <t>2415 North Street</t>
  </si>
  <si>
    <t>Tulsa</t>
  </si>
  <si>
    <t>129TH</t>
  </si>
  <si>
    <t>PUREOK001</t>
  </si>
  <si>
    <t>12915 East 31st Street</t>
  </si>
  <si>
    <t>Bartlesville</t>
  </si>
  <si>
    <t>PUREOK002</t>
  </si>
  <si>
    <t>2505 Southeast Washington Boulevard Suite A</t>
  </si>
  <si>
    <t>Garnett</t>
  </si>
  <si>
    <t>PUREOK004</t>
  </si>
  <si>
    <t>10915 East 31st Street</t>
  </si>
  <si>
    <t>Lewis</t>
  </si>
  <si>
    <t>PUREOK005</t>
  </si>
  <si>
    <t>1614 North Lewis Avenue</t>
  </si>
  <si>
    <t>Okmulgee</t>
  </si>
  <si>
    <t>PUREOK006</t>
  </si>
  <si>
    <t>1205 South Wood Drive</t>
  </si>
  <si>
    <t>Sand Springs</t>
  </si>
  <si>
    <t>PUREOK007</t>
  </si>
  <si>
    <t>426 Plaza Court</t>
  </si>
  <si>
    <t>Sheridan</t>
  </si>
  <si>
    <t>PUREOK008</t>
  </si>
  <si>
    <t>834 North Sheridan Road</t>
  </si>
  <si>
    <t>Union</t>
  </si>
  <si>
    <t>PUREOK009</t>
  </si>
  <si>
    <t>4997 South Union Avenue</t>
  </si>
  <si>
    <t>Payless</t>
  </si>
  <si>
    <t>PUREOK010</t>
  </si>
  <si>
    <t>2175 South Sheridan Road</t>
  </si>
  <si>
    <t>E. 61st Street</t>
  </si>
  <si>
    <t>PUREOK011</t>
  </si>
  <si>
    <t>2216-2218 E.61ST STREET</t>
  </si>
  <si>
    <t>E.Admiral PL</t>
  </si>
  <si>
    <t>PUREOK012</t>
  </si>
  <si>
    <t>7307 E ADMIRAL PL</t>
  </si>
  <si>
    <t>S Yale Ave</t>
  </si>
  <si>
    <t>PUREOK013</t>
  </si>
  <si>
    <t>4010 S YALE AVE</t>
  </si>
  <si>
    <t>Closed</t>
  </si>
  <si>
    <t>S Peoria Ave</t>
  </si>
  <si>
    <t>PUREOK014</t>
  </si>
  <si>
    <t>6308 S PEORIA AVE</t>
  </si>
  <si>
    <t>Dallas</t>
  </si>
  <si>
    <t>Sherman</t>
  </si>
  <si>
    <t>PUREPAR001</t>
  </si>
  <si>
    <t>738 US Highway 82 East Suite 238</t>
  </si>
  <si>
    <t>Clarksville</t>
  </si>
  <si>
    <t>PUREPAR002</t>
  </si>
  <si>
    <t>1404 Clarksville Street</t>
  </si>
  <si>
    <t>Lamar</t>
  </si>
  <si>
    <t>PUREPAR003</t>
  </si>
  <si>
    <t>3912 Lamar Avenue</t>
  </si>
  <si>
    <t>Bonham</t>
  </si>
  <si>
    <t>PUREPAR004</t>
  </si>
  <si>
    <t>2011 North State Highway 121</t>
  </si>
  <si>
    <t>Weatherford</t>
  </si>
  <si>
    <t>PUREPAR005</t>
  </si>
  <si>
    <t>1418 South Main Street</t>
  </si>
  <si>
    <t>Mineral Wells</t>
  </si>
  <si>
    <t>PUREPAR006</t>
  </si>
  <si>
    <t>2801 Highway 180 East</t>
  </si>
  <si>
    <t>Mansfield</t>
  </si>
  <si>
    <t>PUREPAR007</t>
  </si>
  <si>
    <t>593 West Debbie Lane Suite 101</t>
  </si>
  <si>
    <t>Crowley</t>
  </si>
  <si>
    <t>PUREPAR008</t>
  </si>
  <si>
    <t>7701 Crowley Road</t>
  </si>
  <si>
    <t>PUREWAC006</t>
  </si>
  <si>
    <t>Waco</t>
  </si>
  <si>
    <t>Waco Dr</t>
  </si>
  <si>
    <t>PUREWAC002</t>
  </si>
  <si>
    <t>1300 West Waco Drive</t>
  </si>
  <si>
    <t>3300 Hillcrest Dr</t>
  </si>
  <si>
    <t>PUREWAC003</t>
  </si>
  <si>
    <t>3300 Hillcrest Drive</t>
  </si>
  <si>
    <t>I35</t>
  </si>
  <si>
    <t>PUREWAC007</t>
  </si>
  <si>
    <t>N Valley Mills</t>
  </si>
  <si>
    <t>PUREWAC008</t>
  </si>
  <si>
    <t>1619 North Valley Mills Drive</t>
  </si>
  <si>
    <t>Park Lake</t>
  </si>
  <si>
    <t>PUREWAC009</t>
  </si>
  <si>
    <t>1920 Park Lake Drive</t>
  </si>
  <si>
    <t>S Valley Mills</t>
  </si>
  <si>
    <t>PUREWAC010</t>
  </si>
  <si>
    <t>1821 South Valley Mills Drive Suite 130</t>
  </si>
  <si>
    <t>PURECOR001</t>
  </si>
  <si>
    <t>1446 Airline Road</t>
  </si>
  <si>
    <t>Bel Aire</t>
  </si>
  <si>
    <t>PURECOR002</t>
  </si>
  <si>
    <t>2777 South Staples Street</t>
  </si>
  <si>
    <t>HEB-Flour Bluff</t>
  </si>
  <si>
    <t>PURECOR003</t>
  </si>
  <si>
    <t>1145 Waldron Road Suite 510</t>
  </si>
  <si>
    <t>IngleSide</t>
  </si>
  <si>
    <t>PURECOR005</t>
  </si>
  <si>
    <t>2334 State Highway 361 Suite 134</t>
  </si>
  <si>
    <t>Port</t>
  </si>
  <si>
    <t>PURECOR008</t>
  </si>
  <si>
    <t>3222 South Port Avenue</t>
  </si>
  <si>
    <t>Staples</t>
  </si>
  <si>
    <t>PURECOR010</t>
  </si>
  <si>
    <t>5702 South Staples Street Suite B8</t>
  </si>
  <si>
    <t>Weber</t>
  </si>
  <si>
    <t>PURECOR011</t>
  </si>
  <si>
    <t>4002 Weber Road</t>
  </si>
  <si>
    <t>WoodLawn</t>
  </si>
  <si>
    <t>PURECOR012</t>
  </si>
  <si>
    <t>RGV</t>
  </si>
  <si>
    <t>Alamo</t>
  </si>
  <si>
    <t>PURERGV001</t>
  </si>
  <si>
    <t>1716 North Alamo Road Suite A</t>
  </si>
  <si>
    <t>Donna</t>
  </si>
  <si>
    <t>PURERGV002</t>
  </si>
  <si>
    <t>221 North Daniel Salinas Boulevard</t>
  </si>
  <si>
    <t>Edinburg</t>
  </si>
  <si>
    <t>PURERGV003</t>
  </si>
  <si>
    <t>1649 West University Drive</t>
  </si>
  <si>
    <t>Harlingen</t>
  </si>
  <si>
    <t>PURERGV004</t>
  </si>
  <si>
    <t>406A Dixieland Road</t>
  </si>
  <si>
    <t>Mcallen</t>
  </si>
  <si>
    <t>PURERGV005</t>
  </si>
  <si>
    <t>3614 Pecan Boulevard</t>
  </si>
  <si>
    <t>Rio Grande City</t>
  </si>
  <si>
    <t>PURERGV008</t>
  </si>
  <si>
    <t>2119 East US Highway 83</t>
  </si>
  <si>
    <t>San Juan</t>
  </si>
  <si>
    <t>PURERGV009</t>
  </si>
  <si>
    <t>901 West Expressway 83</t>
  </si>
  <si>
    <t>Weslaco</t>
  </si>
  <si>
    <t>PURERGV010</t>
  </si>
  <si>
    <t>1004 North Texas Boulevard</t>
  </si>
  <si>
    <t>HWY 83</t>
  </si>
  <si>
    <t>PURERGV011</t>
  </si>
  <si>
    <t>509 South Expressway 83 Suite A 1B</t>
  </si>
  <si>
    <t>Las Milpas (Pharr)</t>
  </si>
  <si>
    <t>PURERGV012</t>
  </si>
  <si>
    <t>6708 South Cage Boulevard</t>
  </si>
  <si>
    <t>Main</t>
  </si>
  <si>
    <t>PURERGV013</t>
  </si>
  <si>
    <t>3502 West Main Avenue</t>
  </si>
  <si>
    <t>Mercedes</t>
  </si>
  <si>
    <t>PURERGV014</t>
  </si>
  <si>
    <t>New Cage (Pharr)</t>
  </si>
  <si>
    <t>PURERGV015</t>
  </si>
  <si>
    <t>1300 South Cage Boulevard Suite A</t>
  </si>
  <si>
    <t>Vermont</t>
  </si>
  <si>
    <t>PURERGV018</t>
  </si>
  <si>
    <t>601 North Vermont Avenue Suite 120</t>
  </si>
  <si>
    <t>W7 Mile</t>
  </si>
  <si>
    <t>PURERGV019</t>
  </si>
  <si>
    <t>6302 West Mile 7 Road Suite A</t>
  </si>
  <si>
    <t>North Cage</t>
  </si>
  <si>
    <t>PURERGV025</t>
  </si>
  <si>
    <t>614 South Cage Boulevard Suite 5</t>
  </si>
  <si>
    <t>E Canton Rd</t>
  </si>
  <si>
    <t>PURERGV026</t>
  </si>
  <si>
    <t>1560E Canton Rd</t>
  </si>
  <si>
    <t>San Antonio</t>
  </si>
  <si>
    <t>Bandera</t>
  </si>
  <si>
    <t>PURESA001</t>
  </si>
  <si>
    <t>606 Bandera Road</t>
  </si>
  <si>
    <t>Callaghan</t>
  </si>
  <si>
    <t>PURESA002</t>
  </si>
  <si>
    <t>5835 Culebra Road Suite 103</t>
  </si>
  <si>
    <t>Converse</t>
  </si>
  <si>
    <t>PURESA003</t>
  </si>
  <si>
    <t>9204 Schaefer Road Suite 101</t>
  </si>
  <si>
    <t>Culebra</t>
  </si>
  <si>
    <t>PURESA004</t>
  </si>
  <si>
    <t>7614 Culebra Road Suite 101</t>
  </si>
  <si>
    <t>Cupples</t>
  </si>
  <si>
    <t>PURESA005</t>
  </si>
  <si>
    <t>1120 Cupples Road</t>
  </si>
  <si>
    <t>FM 78</t>
  </si>
  <si>
    <t>PURESA006</t>
  </si>
  <si>
    <t>8250 FM 78 Suite 106</t>
  </si>
  <si>
    <t>Hackberry</t>
  </si>
  <si>
    <t>PURESA007</t>
  </si>
  <si>
    <t>4726 South Hackberry</t>
  </si>
  <si>
    <t>HEB -Las Palmas</t>
  </si>
  <si>
    <t>PURESA008</t>
  </si>
  <si>
    <t>721 Castroville Road</t>
  </si>
  <si>
    <t>New Laredo</t>
  </si>
  <si>
    <t>PURESA009</t>
  </si>
  <si>
    <t>465 New Laredo Highway</t>
  </si>
  <si>
    <t>Poteet</t>
  </si>
  <si>
    <t>PURESA010</t>
  </si>
  <si>
    <t>1007 Poteet Jourdanton Freeway</t>
  </si>
  <si>
    <t>West HQ</t>
  </si>
  <si>
    <t>PURESA011</t>
  </si>
  <si>
    <t>3012 West Avenue</t>
  </si>
  <si>
    <t>Houston Asad</t>
  </si>
  <si>
    <t>Houston-Noor</t>
  </si>
  <si>
    <t>Houston-Al Nawaz</t>
  </si>
  <si>
    <t>Louisiana</t>
  </si>
  <si>
    <t>Corpus Christi</t>
  </si>
  <si>
    <t>359 N TEXAS AVE</t>
  </si>
  <si>
    <t>FM 495</t>
  </si>
  <si>
    <t>1209 E FM 495 STE 7</t>
  </si>
  <si>
    <t>PURERGV027</t>
  </si>
  <si>
    <t>PURERGV028</t>
  </si>
  <si>
    <t>E FRONTAGE</t>
  </si>
  <si>
    <t>506 E FRONTAGE RD STE 2</t>
  </si>
  <si>
    <t>1120 W MONTE CRISTO RD</t>
  </si>
  <si>
    <t>W MONTE CRISTO</t>
  </si>
  <si>
    <t>PURERGV030</t>
  </si>
  <si>
    <t>PURERGV031</t>
  </si>
  <si>
    <t>E BUSINESS HIGHWAY 83</t>
  </si>
  <si>
    <t>1513 E BUSINESS HIGHWAY 83 STE 115</t>
  </si>
  <si>
    <t>1901 W DICKER DR STE 1</t>
  </si>
  <si>
    <t>W DICKER DR</t>
  </si>
  <si>
    <t>PURERGV032</t>
  </si>
  <si>
    <t>PURERGV033</t>
  </si>
  <si>
    <t>N 23RD ST</t>
  </si>
  <si>
    <t>500 N 23RD ST STE 50</t>
  </si>
  <si>
    <t>2105 WEST 3 MILE RD. SUITE 5</t>
  </si>
  <si>
    <t>WEST 3 MILE RD</t>
  </si>
  <si>
    <t>PURERGV034</t>
  </si>
  <si>
    <t>PURERGV035</t>
  </si>
  <si>
    <t>N RAUL LONGORIA RD</t>
  </si>
  <si>
    <t>2604 N RAUL LONGORIA RD STE 106</t>
  </si>
  <si>
    <t>1022 E UNIVERSITY DR</t>
  </si>
  <si>
    <t>PURERGV036</t>
  </si>
  <si>
    <t>6410 WEBER RD</t>
  </si>
  <si>
    <t>6410 WEBER</t>
  </si>
  <si>
    <t>PURECOR013</t>
  </si>
  <si>
    <t>346 S COVINGTON ST</t>
  </si>
  <si>
    <t>HILLSBORO</t>
  </si>
  <si>
    <t>903 N INTERSTATE 35</t>
  </si>
  <si>
    <t>205 WALLER AVE</t>
  </si>
  <si>
    <t>WALLER</t>
  </si>
  <si>
    <t>10811 VETERANS MEMORIAL DR</t>
  </si>
  <si>
    <t>PUREHOU048</t>
  </si>
  <si>
    <t>6095 GLENMONT DR</t>
  </si>
  <si>
    <t>419 HOLLOW TREE LN</t>
  </si>
  <si>
    <t>HOLLOW TREE</t>
  </si>
  <si>
    <t>3645 CYPRESS CREEK PKWY</t>
  </si>
  <si>
    <t>3645 CYPRESS</t>
  </si>
  <si>
    <t>1424A CYPRESS CREEK PKWY</t>
  </si>
  <si>
    <t>850 GRAND AVE</t>
  </si>
  <si>
    <t>BACLIFF</t>
  </si>
  <si>
    <t>DICKINSON</t>
  </si>
  <si>
    <t>4224 FM 517 RD E</t>
  </si>
  <si>
    <t>5314 FM 1765</t>
  </si>
  <si>
    <t>LAMARQUE</t>
  </si>
  <si>
    <t>GALVESTON</t>
  </si>
  <si>
    <t>2523 BROADWAY ST</t>
  </si>
  <si>
    <t>GLENMONT</t>
  </si>
  <si>
    <t>New</t>
  </si>
  <si>
    <t>PURELAR007</t>
  </si>
  <si>
    <t>S ZAPATA HWY</t>
  </si>
  <si>
    <t>604 S ZAPATA HWY SUITE 3B-2</t>
  </si>
  <si>
    <t>Store Manager</t>
  </si>
  <si>
    <t>DM's</t>
  </si>
  <si>
    <t>MAYRA</t>
  </si>
  <si>
    <t>(blank)</t>
  </si>
  <si>
    <t>Grand Total</t>
  </si>
  <si>
    <t>Count of DM's</t>
  </si>
  <si>
    <t>HASSAN</t>
  </si>
  <si>
    <t xml:space="preserve">JESSY GARZA </t>
  </si>
  <si>
    <t>JOEANN RAMEY</t>
  </si>
  <si>
    <t>ERIN DREW SKILES</t>
  </si>
  <si>
    <t>INARA</t>
  </si>
  <si>
    <t>PriscillaL</t>
  </si>
  <si>
    <t>-</t>
  </si>
  <si>
    <t>Jenni</t>
  </si>
  <si>
    <t>SAM</t>
  </si>
  <si>
    <t>Sameer</t>
  </si>
  <si>
    <t>Affan</t>
  </si>
  <si>
    <t>SID</t>
  </si>
  <si>
    <t xml:space="preserve">Adrian Barbosa </t>
  </si>
  <si>
    <t>Andrew G</t>
  </si>
  <si>
    <t xml:space="preserve">Ismael Nanez </t>
  </si>
  <si>
    <t xml:space="preserve">Adam Rdz </t>
  </si>
  <si>
    <t>Zee</t>
  </si>
  <si>
    <t>DM</t>
  </si>
  <si>
    <t>Shafqat</t>
  </si>
  <si>
    <t>PUREHOU112</t>
  </si>
  <si>
    <t>PUREHOU113</t>
  </si>
  <si>
    <t>6078 Katy</t>
  </si>
  <si>
    <t>1793 Katy</t>
  </si>
  <si>
    <t xml:space="preserve">6078 FRY RD STE I              </t>
  </si>
  <si>
    <t xml:space="preserve">1793 FRY RD ,KATY, TX  77449 </t>
  </si>
  <si>
    <t>Shayna</t>
  </si>
  <si>
    <t>~Janette Anahi Fernandez</t>
  </si>
  <si>
    <t>Efren Chavez</t>
  </si>
  <si>
    <t>ELLIE</t>
  </si>
  <si>
    <t>Kelli</t>
  </si>
  <si>
    <t>Alume</t>
  </si>
  <si>
    <t>PUREHOU114</t>
  </si>
  <si>
    <t xml:space="preserve"> 8610 IRVINGTON BLVD</t>
  </si>
  <si>
    <t>Open</t>
  </si>
  <si>
    <t>8700 IRVINGTON BLVD</t>
  </si>
  <si>
    <t>David Perez / Zee</t>
  </si>
  <si>
    <t>Adrian Barbosa</t>
  </si>
  <si>
    <t>PUREHOU115</t>
  </si>
  <si>
    <t>PURESA029</t>
  </si>
  <si>
    <t>NORTHWEST LOOP</t>
  </si>
  <si>
    <t>PURESA030</t>
  </si>
  <si>
    <t>PURESA031</t>
  </si>
  <si>
    <t>SW MILITARY</t>
  </si>
  <si>
    <t>VANCE JACKSON</t>
  </si>
  <si>
    <t>930 SW Military Dr</t>
  </si>
  <si>
    <t>2329 Vance Jackson</t>
  </si>
  <si>
    <t>PURELAR009</t>
  </si>
  <si>
    <t>PURELAR010</t>
  </si>
  <si>
    <t>PURELAR011</t>
  </si>
  <si>
    <t>PURELAR012</t>
  </si>
  <si>
    <t>PURELAR013</t>
  </si>
  <si>
    <t>PURELAR014</t>
  </si>
  <si>
    <t>CALTON</t>
  </si>
  <si>
    <t>CHIHUAHUA</t>
  </si>
  <si>
    <t>HEB - SAN DARIO</t>
  </si>
  <si>
    <t>JAIME ZAPATA</t>
  </si>
  <si>
    <t>MCPHERSON</t>
  </si>
  <si>
    <t>SAN BERNARDO</t>
  </si>
  <si>
    <t>502 W CALTON RD STE 202</t>
  </si>
  <si>
    <t>719 CHIHUAHUA ST STE 107</t>
  </si>
  <si>
    <t>4801 SAN DARIO AVE</t>
  </si>
  <si>
    <t>4205 JAIME ZAPATA MEMORIAL HWY STE 21</t>
  </si>
  <si>
    <t>4201 MCPHERSON AVE STE 101</t>
  </si>
  <si>
    <t>3402 SAN BERNARDO AVE STE 2</t>
  </si>
  <si>
    <t>Farees Syed</t>
  </si>
  <si>
    <t>Total</t>
  </si>
  <si>
    <t>Bellaire</t>
  </si>
  <si>
    <t>Chimney rock</t>
  </si>
  <si>
    <t>Sheldon</t>
  </si>
  <si>
    <t>Veterans</t>
  </si>
  <si>
    <t>Jenni/@~Nallely Piñon</t>
  </si>
  <si>
    <t>Yackie / Sabiina</t>
  </si>
  <si>
    <t>PURESA032</t>
  </si>
  <si>
    <t>PURESA033</t>
  </si>
  <si>
    <t>PURESA034</t>
  </si>
  <si>
    <t>PURESA035</t>
  </si>
  <si>
    <t>PURESA036</t>
  </si>
  <si>
    <t>PURESA037</t>
  </si>
  <si>
    <t>PURESA038</t>
  </si>
  <si>
    <t>7321 SAN PEDRO</t>
  </si>
  <si>
    <t>WALZEM 5231</t>
  </si>
  <si>
    <t>7428 MILITARY</t>
  </si>
  <si>
    <t>VALLEY HI</t>
  </si>
  <si>
    <t>FREDERICKSBURG</t>
  </si>
  <si>
    <t>14042 NACOGDOCHES RD</t>
  </si>
  <si>
    <t>6819 SAN PEDRO</t>
  </si>
  <si>
    <t xml:space="preserve">6819 San Pedro Avenue, </t>
  </si>
  <si>
    <t>14042 Nacogdoches Road Suite 1A</t>
  </si>
  <si>
    <t>3701 Fredericksburg Road,</t>
  </si>
  <si>
    <t>341 Valley Hi Drive Suite 103</t>
  </si>
  <si>
    <t>7428 West Military Drive</t>
  </si>
  <si>
    <t>5231 Walzem Road, Windcrest</t>
  </si>
  <si>
    <t>7321 San Pedro Avenue Suite 3</t>
  </si>
  <si>
    <t xml:space="preserve">sheHRIZ / Ramiro Aleman </t>
  </si>
  <si>
    <t>SYED / KHAN</t>
  </si>
  <si>
    <t>PURESA039</t>
  </si>
  <si>
    <t>PURESA040</t>
  </si>
  <si>
    <t>1619 Babcock</t>
  </si>
  <si>
    <t>5601 Bandera</t>
  </si>
  <si>
    <t>1619 Babcock Rd, San Antonio, TX, 78229</t>
  </si>
  <si>
    <t>5601 Bandera Rd, San Antonio, TX, 78238</t>
  </si>
  <si>
    <t>Sohail</t>
  </si>
  <si>
    <t>PUREHOU118</t>
  </si>
  <si>
    <t>PUREHOU119</t>
  </si>
  <si>
    <t>PALMER HWY</t>
  </si>
  <si>
    <t>9TH AVE</t>
  </si>
  <si>
    <t>3005 Palmer Highway, Texas City, TX, 77590</t>
  </si>
  <si>
    <t>2028 9th Avenue North Suite 200, Texas City, TX, 77590</t>
  </si>
  <si>
    <t>PURERGV037</t>
  </si>
  <si>
    <t>13th</t>
  </si>
  <si>
    <t>534 E 13th st</t>
  </si>
  <si>
    <t xml:space="preserve"> S GARNETT RD</t>
  </si>
  <si>
    <t>N HARVARD</t>
  </si>
  <si>
    <t>N PEORIA AVE</t>
  </si>
  <si>
    <t>1950 S GARNETT RD</t>
  </si>
  <si>
    <t>1515 N HARVARD AVE STE K</t>
  </si>
  <si>
    <t>1605 N PEORIA AVE</t>
  </si>
  <si>
    <t>PUREOK015</t>
  </si>
  <si>
    <t>PUREOK016</t>
  </si>
  <si>
    <t>PUREOK017</t>
  </si>
  <si>
    <t>Diana / @~SL</t>
  </si>
  <si>
    <t>Florida</t>
  </si>
  <si>
    <t>PUREFL001</t>
  </si>
  <si>
    <t>49TH ST N</t>
  </si>
  <si>
    <t>PUREFL002</t>
  </si>
  <si>
    <t>N ARMENIA AVE</t>
  </si>
  <si>
    <t>PUREFL003</t>
  </si>
  <si>
    <t>US HIGHWAY 301 S</t>
  </si>
  <si>
    <t>PUREFL004</t>
  </si>
  <si>
    <t>W BLOOMINGDALE AVE</t>
  </si>
  <si>
    <t>7121 49th St N, Pinellas Park, FL, 33781</t>
  </si>
  <si>
    <t>6804 N Armenia Ave, Tampa, FL, 33604</t>
  </si>
  <si>
    <t>9850 US Highway 301 S, Riverview, FL, 33578</t>
  </si>
  <si>
    <t>809 W Bloomingdale Ave, Brandon, FL, 33511</t>
  </si>
  <si>
    <t>~lei</t>
  </si>
  <si>
    <t>Amarily / Gennys</t>
  </si>
  <si>
    <t>Dayane</t>
  </si>
  <si>
    <t>Abigail Arianna</t>
  </si>
  <si>
    <t>Houston-Hassan</t>
  </si>
  <si>
    <t>Arman/ KV</t>
  </si>
  <si>
    <t xml:space="preserve">bryana kelly/ Hyder </t>
  </si>
  <si>
    <t>Danielaa</t>
  </si>
  <si>
    <t xml:space="preserve">Yackie/ Raiyan </t>
  </si>
  <si>
    <t>Hamza</t>
  </si>
  <si>
    <t>Priscilla</t>
  </si>
  <si>
    <t>KHAN / ~Aftab Lakhani</t>
  </si>
  <si>
    <t xml:space="preserve">BROWNSVILLE </t>
  </si>
  <si>
    <t xml:space="preserve">801 INTERNATIONAL BOULEVARD SUITE 1 </t>
  </si>
  <si>
    <t>Suzette</t>
  </si>
  <si>
    <t>Y C /Bella</t>
  </si>
  <si>
    <t>Syed Khadar</t>
  </si>
  <si>
    <t>Active</t>
  </si>
  <si>
    <t xml:space="preserve">Mohammad Fawad Arshad / Amanda </t>
  </si>
  <si>
    <t>Raul / Amanda</t>
  </si>
  <si>
    <t>AMIN</t>
  </si>
  <si>
    <t>SHAFQAT.</t>
  </si>
  <si>
    <t>ASAD</t>
  </si>
  <si>
    <t>ALNAWAZ</t>
  </si>
  <si>
    <t>HASSAN2</t>
  </si>
  <si>
    <t>NOOR</t>
  </si>
  <si>
    <t>AQEEL</t>
  </si>
  <si>
    <t>BUPI</t>
  </si>
  <si>
    <t>SHAFQAT</t>
  </si>
  <si>
    <t>ZEE</t>
  </si>
  <si>
    <t>MAJID</t>
  </si>
  <si>
    <t>SHOAIB</t>
  </si>
  <si>
    <t>SHEHRIZ</t>
  </si>
  <si>
    <t>DAYANE</t>
  </si>
  <si>
    <t>Saad Daha /Owaisi</t>
  </si>
  <si>
    <t>Danyelle</t>
  </si>
  <si>
    <t>ERIC/MATT/George</t>
  </si>
  <si>
    <t>RGV- Laredo</t>
  </si>
  <si>
    <t>Mohammed Owais Adil</t>
  </si>
  <si>
    <t>@~X</t>
  </si>
  <si>
    <t>~Sebasthian Oliveros</t>
  </si>
  <si>
    <t>Umar</t>
  </si>
  <si>
    <t xml:space="preserve">Minhaj / SURAJ SHAIK </t>
  </si>
  <si>
    <t>Habib //Erica</t>
  </si>
  <si>
    <t>Habib / Ashley</t>
  </si>
  <si>
    <t>~Yaseen  Shaik</t>
  </si>
  <si>
    <t>ASHLEY // Carmen</t>
  </si>
  <si>
    <t xml:space="preserve">joe/ Abdul Kareem </t>
  </si>
  <si>
    <t>Carmen  //ASHLEY</t>
  </si>
  <si>
    <t>Debanhi // Bupi /</t>
  </si>
  <si>
    <t>~Sohaib Khan</t>
  </si>
  <si>
    <t xml:space="preserve"> Bupi /</t>
  </si>
  <si>
    <t>~Faisal Abdul Jabbar//TiEisha</t>
  </si>
  <si>
    <t>~Laiba Owais</t>
  </si>
  <si>
    <t>~Riz Nabi</t>
  </si>
  <si>
    <t>~Muhammad Shezad</t>
  </si>
  <si>
    <t>Arslan Ashraf // ~Cesar H165</t>
  </si>
  <si>
    <t>Divya</t>
  </si>
  <si>
    <t>Kanwal</t>
  </si>
  <si>
    <t>Asfand 
 //🐍🐍 1931
//Affan</t>
  </si>
  <si>
    <t>~Saad Daha</t>
  </si>
  <si>
    <t>Karina</t>
  </si>
  <si>
    <t>~Muhammad Hashir Ali</t>
  </si>
  <si>
    <t>Daniel // RS....(T＿T)</t>
  </si>
  <si>
    <t>~Mariem Farage</t>
  </si>
  <si>
    <t>Saad</t>
  </si>
  <si>
    <t>~Gael M</t>
  </si>
  <si>
    <t xml:space="preserve">~Who Cares⁉️  // Karina </t>
  </si>
  <si>
    <t>Sarah//Wendy M</t>
  </si>
  <si>
    <t xml:space="preserve"> ~Rafay. //~Muhammad Hassan</t>
  </si>
  <si>
    <t>~Abdul Ahad</t>
  </si>
  <si>
    <t xml:space="preserve"> ~✌🏻</t>
  </si>
  <si>
    <t>~Syed Junaid Hussain</t>
  </si>
  <si>
    <t>~Farooq Aziz</t>
  </si>
  <si>
    <t>Nolan // abdu</t>
  </si>
  <si>
    <t xml:space="preserve">Syed </t>
  </si>
  <si>
    <t xml:space="preserve">Raul/ Amanda </t>
  </si>
  <si>
    <t>/ Amanda  //Faraz Baig</t>
  </si>
  <si>
    <t xml:space="preserve">Wendy  / Amanda </t>
  </si>
  <si>
    <t xml:space="preserve"> ~King Khan // Amanda</t>
  </si>
  <si>
    <t>Faraz Baig // Amanda</t>
  </si>
  <si>
    <t>Shehriz</t>
  </si>
  <si>
    <t xml:space="preserve"> Claw Monroy</t>
  </si>
  <si>
    <t xml:space="preserve">@~Grecia Nicole </t>
  </si>
  <si>
    <t xml:space="preserve"> @~Big Leech</t>
  </si>
  <si>
    <t xml:space="preserve"> ~Claudia M //~Grecia Nicole</t>
  </si>
  <si>
    <t xml:space="preserve"> Ali</t>
  </si>
  <si>
    <t>~Navneeth Nani🖤</t>
  </si>
  <si>
    <t>Arshad</t>
  </si>
  <si>
    <t>Nag</t>
  </si>
  <si>
    <t>Shaik</t>
  </si>
  <si>
    <t>Bilal Zubair Chini</t>
  </si>
  <si>
    <t xml:space="preserve">@~Peter Blue </t>
  </si>
  <si>
    <t>Harry</t>
  </si>
  <si>
    <t xml:space="preserve"> @~Shaina</t>
  </si>
  <si>
    <t>~pavan kumar</t>
  </si>
  <si>
    <t>5251 Timberhill  // 5851 Northwest Loop 410</t>
  </si>
  <si>
    <t>Mohammed Farooq Ahmed</t>
  </si>
  <si>
    <t>SULTAN</t>
  </si>
  <si>
    <t>Sold out</t>
  </si>
  <si>
    <t>Phoenix</t>
  </si>
  <si>
    <t xml:space="preserve">PUREPHX18 </t>
  </si>
  <si>
    <t xml:space="preserve">PUREPHX19 </t>
  </si>
  <si>
    <t xml:space="preserve">PUREPHX20 </t>
  </si>
  <si>
    <t>169 BROADWAY</t>
  </si>
  <si>
    <t>N 83RD</t>
  </si>
  <si>
    <t>BASELINE</t>
  </si>
  <si>
    <t>169 E Broadway Rd Mesa, AZ 85210</t>
  </si>
  <si>
    <t>4840 N 83rd Ave Suite 4 Phoenix, AZ 85033</t>
  </si>
  <si>
    <t>1635 E Baseline Rd Suite 110 Phoenix, AZ 85042</t>
  </si>
  <si>
    <t>Rameezuddin</t>
  </si>
  <si>
    <t>Nomaan Rameez</t>
  </si>
  <si>
    <t>Aftab</t>
  </si>
  <si>
    <t>Rockon Dowlen</t>
  </si>
  <si>
    <t>Rockon Nasa</t>
  </si>
  <si>
    <t>8821 Antoine Dr</t>
  </si>
  <si>
    <t>Uvalde Rd Ste</t>
  </si>
  <si>
    <t>Rockon Washington</t>
  </si>
  <si>
    <t>Rockon Little York</t>
  </si>
  <si>
    <t>Rockon Aldine Westfield</t>
  </si>
  <si>
    <t>PUREHOU129</t>
  </si>
  <si>
    <t>PUREHOU130</t>
  </si>
  <si>
    <t>PUREHOU131</t>
  </si>
  <si>
    <t>PUREHOU132</t>
  </si>
  <si>
    <t>PUREHOU133</t>
  </si>
  <si>
    <t>PUREHOU134</t>
  </si>
  <si>
    <t>PUREHOU135</t>
  </si>
  <si>
    <t>4105 Dowlen Rd Ste G, Beaumont, TX, 77706</t>
  </si>
  <si>
    <t>552 W Nasa Pkwy, Webster, TX, 77598</t>
  </si>
  <si>
    <t>8821 Antoine Dr, Houston, TX, 77088</t>
  </si>
  <si>
    <t>18 Uvalde Rd Ste D, Houston, TX, 77015</t>
  </si>
  <si>
    <t>2751 Washington Blvd, Beaumont, TX, 77705</t>
  </si>
  <si>
    <t>740 W Little York Rd, Houston, TX, 77091</t>
  </si>
  <si>
    <t>23221 Aldine Westfield Rd Suite 1400, Spring, TX, 77373</t>
  </si>
  <si>
    <t>3701 Leopard St, Corpus Christi, TX 78408 /3751 Leopard Street</t>
  </si>
  <si>
    <t>PUREPHX014</t>
  </si>
  <si>
    <t>10429 N 19TH AVE</t>
  </si>
  <si>
    <t xml:space="preserve">10429 N 19TH AVE    PHOENIX, AZ  85021      </t>
  </si>
  <si>
    <t>PUREPHX015</t>
  </si>
  <si>
    <t>PUREPHX016</t>
  </si>
  <si>
    <t>PUREPHX017</t>
  </si>
  <si>
    <t>2918 NORTH 40TH ST  PHOENIX, AZ  85018</t>
  </si>
  <si>
    <t>2918 NORTH 40TH ST</t>
  </si>
  <si>
    <t>303 E SOUTHERN AVE STE 107</t>
  </si>
  <si>
    <t xml:space="preserve">303 E SOUTHERN AVE STE 107   MESA, AZ  85210                                       </t>
  </si>
  <si>
    <t xml:space="preserve">606 E MAIN ST STE 104     </t>
  </si>
  <si>
    <t xml:space="preserve">606 E MAIN ST STE 104     MESA, AZ  85203 </t>
  </si>
  <si>
    <t>Tulsa--</t>
  </si>
  <si>
    <t>PUREPHX18</t>
  </si>
  <si>
    <t>PUREPHX19</t>
  </si>
  <si>
    <t>PUREPHX20</t>
  </si>
  <si>
    <t>Rahim</t>
  </si>
  <si>
    <t>Houston - ASAD</t>
  </si>
  <si>
    <t>Houston - ALNAWAZ</t>
  </si>
  <si>
    <t>Houston - HASSAN</t>
  </si>
  <si>
    <t>Houston - NOOR</t>
  </si>
  <si>
    <t>Louisiana - AQEEL</t>
  </si>
  <si>
    <t>Luffkin - SHAFQAT</t>
  </si>
  <si>
    <t>RGV - RAHIM</t>
  </si>
  <si>
    <t>Laredo-MAYRA</t>
  </si>
  <si>
    <t>Laredo - SULTAN</t>
  </si>
  <si>
    <t>San Antonio - MAJID</t>
  </si>
  <si>
    <t>San Antonio - ZEE</t>
  </si>
  <si>
    <t>Tulsa - SHOAIB</t>
  </si>
  <si>
    <t>Waco - SHEHRIZ</t>
  </si>
  <si>
    <t>Phoenix - RAMEEZUDDIN</t>
  </si>
  <si>
    <t>Dallas - SHAFQAT</t>
  </si>
  <si>
    <t>Florida - DAYANE</t>
  </si>
  <si>
    <t>PUREPHX018</t>
  </si>
  <si>
    <t>PUREPHX019</t>
  </si>
  <si>
    <t>PUREPHX020</t>
  </si>
  <si>
    <t>Row Labels</t>
  </si>
  <si>
    <t>Count of Market</t>
  </si>
  <si>
    <t>Pradeep</t>
  </si>
  <si>
    <t>Mahesh</t>
  </si>
  <si>
    <t>RANA</t>
  </si>
  <si>
    <t>Corpus Christi - RANA</t>
  </si>
  <si>
    <t>610214687357</t>
  </si>
  <si>
    <t>195950429404</t>
  </si>
  <si>
    <t>610214687388</t>
  </si>
  <si>
    <t>610214688613</t>
  </si>
  <si>
    <t>195950642803</t>
  </si>
  <si>
    <t>195950621303</t>
  </si>
  <si>
    <t>195950626162</t>
  </si>
  <si>
    <t>195950638004</t>
  </si>
  <si>
    <t>195950626179</t>
  </si>
  <si>
    <t>195950637151</t>
  </si>
  <si>
    <t>195949774072</t>
  </si>
  <si>
    <t>195949724947</t>
  </si>
  <si>
    <t>195949724978</t>
  </si>
  <si>
    <t>195950051681</t>
  </si>
  <si>
    <t>195949821059</t>
  </si>
  <si>
    <t>195949807923</t>
  </si>
  <si>
    <t>194252011997</t>
  </si>
  <si>
    <t>194252836965</t>
  </si>
  <si>
    <t>194252836941</t>
  </si>
  <si>
    <t>194252012314</t>
  </si>
  <si>
    <t>194252028728</t>
  </si>
  <si>
    <t>194252028698</t>
  </si>
  <si>
    <t>194252140390</t>
  </si>
  <si>
    <t>194252145319</t>
  </si>
  <si>
    <t>194252838174</t>
  </si>
  <si>
    <t>194252836897</t>
  </si>
  <si>
    <t>194252836873</t>
  </si>
  <si>
    <t>194253015710</t>
  </si>
  <si>
    <t>610214679628</t>
  </si>
  <si>
    <t>610214685872</t>
  </si>
  <si>
    <t>610214659842</t>
  </si>
  <si>
    <t>610214674050</t>
  </si>
  <si>
    <t>610214674302</t>
  </si>
  <si>
    <t>195949050299</t>
  </si>
  <si>
    <t>610214674142</t>
  </si>
  <si>
    <t>610214675521</t>
  </si>
  <si>
    <t>610214660770</t>
  </si>
  <si>
    <t>610214675101</t>
  </si>
  <si>
    <t>190198453754</t>
  </si>
  <si>
    <t>190199217423</t>
  </si>
  <si>
    <t>190199502246</t>
  </si>
  <si>
    <t>194252026076</t>
  </si>
  <si>
    <t>194252136485</t>
  </si>
  <si>
    <t>194252838013</t>
  </si>
  <si>
    <t>194253015741</t>
  </si>
  <si>
    <t>194252026045</t>
  </si>
  <si>
    <t>194252702796</t>
  </si>
  <si>
    <t>194253012412</t>
  </si>
  <si>
    <t>195949038976</t>
  </si>
  <si>
    <t>195949720444</t>
  </si>
  <si>
    <t>195949050329</t>
  </si>
  <si>
    <t>195949050312</t>
  </si>
  <si>
    <t>195949050305</t>
  </si>
  <si>
    <t>195949038600</t>
  </si>
  <si>
    <t>195949043314</t>
  </si>
  <si>
    <t>195949043307</t>
  </si>
  <si>
    <t>195949043291</t>
  </si>
  <si>
    <t>195949043284</t>
  </si>
  <si>
    <t>195949043277</t>
  </si>
  <si>
    <t>195949043352</t>
  </si>
  <si>
    <t>195949038648</t>
  </si>
  <si>
    <t>195949038631</t>
  </si>
  <si>
    <t>195949038624</t>
  </si>
  <si>
    <t>195949038617</t>
  </si>
  <si>
    <t>610214676566</t>
  </si>
  <si>
    <t>195949038655</t>
  </si>
  <si>
    <t>195949038709</t>
  </si>
  <si>
    <t>195949021329</t>
  </si>
  <si>
    <t>610214678607</t>
  </si>
  <si>
    <t>195949021367</t>
  </si>
  <si>
    <t>195949021312</t>
  </si>
  <si>
    <t>195949021404</t>
  </si>
  <si>
    <t>195949021442</t>
  </si>
  <si>
    <t>195949050367</t>
  </si>
  <si>
    <t>195949050404</t>
  </si>
  <si>
    <t>195949646799</t>
  </si>
  <si>
    <t>195949646737</t>
  </si>
  <si>
    <t>195949561269</t>
  </si>
  <si>
    <t>195949584091</t>
  </si>
  <si>
    <t>610214658579</t>
  </si>
  <si>
    <t>610214659309</t>
  </si>
  <si>
    <t>610214660732</t>
  </si>
  <si>
    <t>610214663719</t>
  </si>
  <si>
    <t>610214661197</t>
  </si>
  <si>
    <t>610214663474</t>
  </si>
  <si>
    <t>610214664877</t>
  </si>
  <si>
    <t>610214665966</t>
  </si>
  <si>
    <t>610214666338</t>
  </si>
  <si>
    <t>610214666321</t>
  </si>
  <si>
    <t>610214666796</t>
  </si>
  <si>
    <t>610214666802</t>
  </si>
  <si>
    <t>610214667052</t>
  </si>
  <si>
    <t>610214668899</t>
  </si>
  <si>
    <t>610214668905</t>
  </si>
  <si>
    <t>610214669025</t>
  </si>
  <si>
    <t>610214669049</t>
  </si>
  <si>
    <t>610214669063</t>
  </si>
  <si>
    <t>610214669254</t>
  </si>
  <si>
    <t>610214669261</t>
  </si>
  <si>
    <t>610214669612</t>
  </si>
  <si>
    <t>610214669179</t>
  </si>
  <si>
    <t>610214670267</t>
  </si>
  <si>
    <t>610214670502</t>
  </si>
  <si>
    <t>610214670649</t>
  </si>
  <si>
    <t>610214671028</t>
  </si>
  <si>
    <t>610214671042</t>
  </si>
  <si>
    <t>610214671066</t>
  </si>
  <si>
    <t>610214664679</t>
  </si>
  <si>
    <t>195949021299</t>
  </si>
  <si>
    <t>610214674791</t>
  </si>
  <si>
    <t>610214671189</t>
  </si>
  <si>
    <t>194252096710</t>
  </si>
  <si>
    <t>610214672940</t>
  </si>
  <si>
    <t>610214672964</t>
  </si>
  <si>
    <t>610214674036</t>
  </si>
  <si>
    <t>887276904337</t>
  </si>
  <si>
    <t>610214674173</t>
  </si>
  <si>
    <t>610214674296</t>
  </si>
  <si>
    <t>610214672704</t>
  </si>
  <si>
    <t>610214670458</t>
  </si>
  <si>
    <t>610214673640</t>
  </si>
  <si>
    <t>194252838204</t>
  </si>
  <si>
    <t>194252012291</t>
  </si>
  <si>
    <t>194252837016</t>
  </si>
  <si>
    <t>610214673343</t>
  </si>
  <si>
    <t>610214685933</t>
  </si>
  <si>
    <t>610214679680</t>
  </si>
  <si>
    <t>610214678348</t>
  </si>
  <si>
    <t>610214681164</t>
  </si>
  <si>
    <t>610214687005</t>
  </si>
  <si>
    <t>610214680785</t>
  </si>
  <si>
    <t>610214679659</t>
  </si>
  <si>
    <t>610214674692</t>
  </si>
  <si>
    <t>610214675064</t>
  </si>
  <si>
    <t>610214675156</t>
  </si>
  <si>
    <t>610214673855</t>
  </si>
  <si>
    <t>610214676078</t>
  </si>
  <si>
    <t>194253408284</t>
  </si>
  <si>
    <t>194253376866</t>
  </si>
  <si>
    <t>194253401209</t>
  </si>
  <si>
    <t>194253409601</t>
  </si>
  <si>
    <t>194253383574</t>
  </si>
  <si>
    <t>610214676276</t>
  </si>
  <si>
    <t>DSI-SM-WATCH4</t>
  </si>
  <si>
    <t>610214659552</t>
  </si>
  <si>
    <t>610214664754</t>
  </si>
  <si>
    <t>610214669919</t>
  </si>
  <si>
    <t>610214679543</t>
  </si>
  <si>
    <t>610214682819</t>
  </si>
  <si>
    <t>610214685766</t>
  </si>
  <si>
    <t>610214671158</t>
  </si>
  <si>
    <t>610214675620</t>
  </si>
  <si>
    <t>610214686282</t>
  </si>
  <si>
    <t>610214680754</t>
  </si>
  <si>
    <t>610214714244</t>
  </si>
  <si>
    <t>610214719812</t>
  </si>
  <si>
    <t>610214676559</t>
  </si>
  <si>
    <t>610214672643</t>
  </si>
  <si>
    <t>610214676382</t>
  </si>
  <si>
    <t>610214676597</t>
  </si>
  <si>
    <t>610214677518</t>
  </si>
  <si>
    <t>810029934886</t>
  </si>
  <si>
    <t>610214678027</t>
  </si>
  <si>
    <t>610214688484</t>
  </si>
  <si>
    <t>610214678638</t>
  </si>
  <si>
    <t>610214678508</t>
  </si>
  <si>
    <t>610214680655</t>
  </si>
  <si>
    <t>610214681225</t>
  </si>
  <si>
    <t>610214687449</t>
  </si>
  <si>
    <t>610214678133</t>
  </si>
  <si>
    <t>610214679130</t>
  </si>
  <si>
    <t>610214686985</t>
  </si>
  <si>
    <t>610214686992</t>
  </si>
  <si>
    <t>610214680792</t>
  </si>
  <si>
    <t>610214680815</t>
  </si>
  <si>
    <t>610214687418</t>
  </si>
  <si>
    <t>887276550282</t>
  </si>
  <si>
    <t>887276553719</t>
  </si>
  <si>
    <t>610214681140</t>
  </si>
  <si>
    <t>610214687326</t>
  </si>
  <si>
    <t>610214676245</t>
  </si>
  <si>
    <t>610214678317</t>
  </si>
  <si>
    <t>610214676498</t>
  </si>
  <si>
    <t>610214679390</t>
  </si>
  <si>
    <t>610214678058</t>
  </si>
  <si>
    <t>610214685964</t>
  </si>
  <si>
    <t>610214680662</t>
  </si>
  <si>
    <t>610214678577</t>
  </si>
  <si>
    <t>887276865126</t>
  </si>
  <si>
    <t>195949646614</t>
  </si>
  <si>
    <t>194253402190</t>
  </si>
  <si>
    <t>610214658616</t>
  </si>
  <si>
    <t>610214661203</t>
  </si>
  <si>
    <t>610214663658</t>
  </si>
  <si>
    <t>195950638011</t>
  </si>
  <si>
    <t>610214688644</t>
  </si>
  <si>
    <t>610214688811</t>
  </si>
  <si>
    <t>195950642827</t>
  </si>
  <si>
    <t>190198043313</t>
  </si>
  <si>
    <t>195949821066</t>
  </si>
  <si>
    <t>195950051698</t>
  </si>
  <si>
    <t>610214633026</t>
  </si>
  <si>
    <t>610214661357</t>
  </si>
  <si>
    <t>194252838181</t>
  </si>
  <si>
    <t>194253408611</t>
  </si>
  <si>
    <t>610214695147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</si>
</sst>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9" tint="0.79998168889431442"/>
      </top>
      <bottom/>
      <diagonal/>
    </border>
    <border>
      <left/>
      <right/>
      <top style="thin">
        <color theme="7" tint="0.79998168889431442"/>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pivotButton="1"/>
    <xf numFmtId="0" fontId="0" fillId="0" borderId="1" xfId="0" applyBorder="1" applyAlignment="1">
      <alignment horizontal="center" vertical="center"/>
    </xf>
    <xf numFmtId="14" fontId="0" fillId="0" borderId="0" xfId="0" applyNumberFormat="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vertical="center"/>
    </xf>
    <xf numFmtId="0" fontId="1" fillId="0" borderId="3" xfId="0" applyFont="1" applyBorder="1" applyAlignment="1">
      <alignment horizontal="center" vertical="center"/>
    </xf>
    <xf numFmtId="0" fontId="1" fillId="4" borderId="1" xfId="0" applyFont="1" applyFill="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top"/>
    </xf>
    <xf numFmtId="0" fontId="0" fillId="0" borderId="1" xfId="0" applyBorder="1" applyAlignment="1">
      <alignment horizontal="center" vertical="center" wrapText="1"/>
    </xf>
    <xf numFmtId="16" fontId="0" fillId="0" borderId="0" xfId="0" applyNumberFormat="1" applyAlignment="1">
      <alignment horizontal="center" vertical="center"/>
    </xf>
    <xf numFmtId="0" fontId="1" fillId="0" borderId="1"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left"/>
    </xf>
    <xf numFmtId="0" fontId="0" fillId="5" borderId="0" xfId="0" applyFill="1"/>
    <xf numFmtId="49" fontId="0" fillId="0" borderId="1" xfId="0" applyNumberFormat="1" applyBorder="1" applyAlignment="1">
      <alignment wrapText="1"/>
    </xf>
    <xf numFmtId="0" fontId="0" fillId="0" borderId="1" xfId="0" applyBorder="1"/>
    <xf numFmtId="49" fontId="0" fillId="0" borderId="1" xfId="0" applyNumberFormat="1" applyBorder="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5</xdr:col>
      <xdr:colOff>480060</xdr:colOff>
      <xdr:row>0</xdr:row>
      <xdr:rowOff>0</xdr:rowOff>
    </xdr:from>
    <xdr:to>
      <xdr:col>8</xdr:col>
      <xdr:colOff>480060</xdr:colOff>
      <xdr:row>13</xdr:row>
      <xdr:rowOff>89535</xdr:rowOff>
    </xdr:to>
    <mc:AlternateContent xmlns:mc="http://schemas.openxmlformats.org/markup-compatibility/2006" xmlns:a14="http://schemas.microsoft.com/office/drawing/2010/main">
      <mc:Choice Requires="a14">
        <xdr:graphicFrame macro="">
          <xdr:nvGraphicFramePr>
            <xdr:cNvPr id="2" name="DM's">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DM's"/>
            </a:graphicData>
          </a:graphic>
        </xdr:graphicFrame>
      </mc:Choice>
      <mc:Fallback xmlns="">
        <xdr:sp macro="" textlink="">
          <xdr:nvSpPr>
            <xdr:cNvPr id="0" name=""/>
            <xdr:cNvSpPr>
              <a:spLocks noTextEdit="1"/>
            </xdr:cNvSpPr>
          </xdr:nvSpPr>
          <xdr:spPr>
            <a:xfrm>
              <a:off x="1037082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579120</xdr:colOff>
      <xdr:row>0</xdr:row>
      <xdr:rowOff>22860</xdr:rowOff>
    </xdr:from>
    <xdr:to>
      <xdr:col>11</xdr:col>
      <xdr:colOff>579120</xdr:colOff>
      <xdr:row>13</xdr:row>
      <xdr:rowOff>112395</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519660" y="22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S NL2409" refreshedDate="45972.450574421295" createdVersion="6" refreshedVersion="6" minRefreshableVersion="3" recordCount="184" xr:uid="{00000000-000A-0000-FFFF-FFFF06000000}">
  <cacheSource type="worksheet">
    <worksheetSource ref="A1:J1048576" sheet="Sheet1"/>
  </cacheSource>
  <cacheFields count="10">
    <cacheField name="S.No" numFmtId="0">
      <sharedItems containsString="0" containsBlank="1" containsNumber="1" containsInteger="1" minValue="1" maxValue="174"/>
    </cacheField>
    <cacheField name="Dealer code" numFmtId="0">
      <sharedItems containsString="0" containsBlank="1" containsNumber="1" containsInteger="1" minValue="70817902" maxValue="70858025"/>
    </cacheField>
    <cacheField name="Market" numFmtId="0">
      <sharedItems containsBlank="1" count="16">
        <s v="Corpus Christi"/>
        <s v="Dallas"/>
        <s v="Florida"/>
        <s v="Houston Asad"/>
        <s v="Houston-Al Nawaz"/>
        <s v="Houston-Hassan"/>
        <s v="Houston-Noor"/>
        <s v="Louisiana"/>
        <s v="Luffkin"/>
        <s v="Phoenix"/>
        <s v="RGV"/>
        <s v="RGV- Laredo"/>
        <s v="San Antonio"/>
        <s v="Tulsa"/>
        <s v="Waco"/>
        <m/>
      </sharedItems>
    </cacheField>
    <cacheField name=" store ID" numFmtId="0">
      <sharedItems containsBlank="1" count="175">
        <s v="PURECOR001"/>
        <s v="PURECOR002"/>
        <s v="PURECOR003"/>
        <s v="PURECOR005"/>
        <s v="PURECOR008"/>
        <s v="PURECOR010"/>
        <s v="PURECOR011"/>
        <s v="PURECOR012"/>
        <s v="PURECOR013"/>
        <s v="PUREPAR001"/>
        <s v="PUREPAR002"/>
        <s v="PUREPAR003"/>
        <s v="PUREPAR004"/>
        <s v="PUREPAR005"/>
        <s v="PUREPAR006"/>
        <s v="PUREPAR007"/>
        <s v="PUREPAR008"/>
        <s v="PUREFL001"/>
        <s v="PUREFL002"/>
        <s v="PUREFL003"/>
        <s v="PUREFL004"/>
        <s v="PUREHOU038"/>
        <s v="PUREHOU059"/>
        <s v="PUREHOU063"/>
        <s v="PUREHOU105"/>
        <s v="PUREHOU106"/>
        <s v="PUREHOU107"/>
        <s v="PUREHOU108"/>
        <s v="PUREHOU118"/>
        <s v="PUREHOU119"/>
        <s v="PUREHOU130"/>
        <s v="PUREHOU039"/>
        <s v="PUREHOU030"/>
        <s v="PUREHOU031"/>
        <s v="PUREHOU035"/>
        <s v="PUREHOU037"/>
        <s v="PUREHOU041"/>
        <s v="PUREHOU042"/>
        <s v="PUREHOU044"/>
        <s v="PUREHOU048"/>
        <s v="PUREHOU065"/>
        <s v="PUREHOU066"/>
        <s v="PUREHOU067"/>
        <s v="PUREHOU112"/>
        <s v="PUREHOU113"/>
        <s v="PUREHOU115"/>
        <s v="PUREHOU114"/>
        <s v="PUREHOU024"/>
        <s v="PUREHOU028"/>
        <s v="PUREHOU036"/>
        <s v="PUREHOU043"/>
        <s v="PUREHOU111"/>
        <s v="PUREHOU131"/>
        <s v="PUREHOU132"/>
        <s v="PUREHOU047"/>
        <s v="PUREHOU061"/>
        <s v="PUREHOU087"/>
        <s v="PUREHOU088"/>
        <s v="PUREHOU027"/>
        <s v="PUREHOU032"/>
        <s v="PUREHOU033"/>
        <s v="PUREHOU034"/>
        <s v="PUREHOU040"/>
        <s v="PUREHOU045"/>
        <s v="PUREHOU053"/>
        <s v="PUREHOU098"/>
        <s v="PUREHOU099"/>
        <s v="PUREHOU100"/>
        <s v="PUREHOU101"/>
        <s v="PUREHOU102"/>
        <s v="PUREHOU134"/>
        <s v="PUREHOU135"/>
        <s v="PUREHOU089"/>
        <s v="PUREHOU090"/>
        <s v="PUREHOU091"/>
        <s v="PUREHOU093"/>
        <s v="PUREHOU094"/>
        <s v="PUREHOU095"/>
        <s v="PUREHOU129"/>
        <s v="PUREHOU133"/>
        <s v="PUREHOU092"/>
        <s v="PUREHOU096"/>
        <s v="PUREHOU097"/>
        <s v="PURELUF001"/>
        <s v="PURELUF002"/>
        <s v="PURELUF003"/>
        <s v="PURELUF004"/>
        <s v="PUREPHX18 "/>
        <s v="PUREPHX19 "/>
        <s v="PUREPHX20 "/>
        <s v="PURERGV012"/>
        <s v="PURERGV015"/>
        <s v="PURERGV025"/>
        <s v="PURERGV026"/>
        <s v="PURERGV027"/>
        <s v="PURERGV032"/>
        <s v="PURERGV035"/>
        <s v="PURERGV036"/>
        <s v="PURERGV001"/>
        <s v="PURERGV002"/>
        <s v="PURERGV004"/>
        <s v="PURERGV010"/>
        <s v="PURERGV011"/>
        <s v="PURERGV014"/>
        <s v="PURERGV018"/>
        <s v="PURERGV028"/>
        <s v="PURERGV031"/>
        <s v="PURERGV003"/>
        <s v="PURERGV005"/>
        <s v="PURERGV008"/>
        <s v="PURERGV009"/>
        <s v="PURERGV013"/>
        <s v="PURERGV019"/>
        <s v="PURERGV030"/>
        <s v="PURERGV033"/>
        <s v="PURERGV034"/>
        <s v="PURERGV037"/>
        <s v="PURELAR007"/>
        <s v="PURELAR009"/>
        <s v="PURELAR010"/>
        <s v="PURELAR011"/>
        <s v="PURELAR012"/>
        <s v="PURELAR013"/>
        <s v="PURELAR014"/>
        <s v="PURESA029"/>
        <s v="PURESA032"/>
        <s v="PURESA033"/>
        <s v="PURESA034"/>
        <s v="PURESA035"/>
        <s v="PURESA036"/>
        <s v="PURESA037"/>
        <s v="PURESA038"/>
        <s v="PURESA039"/>
        <s v="PURESA040"/>
        <s v="PURESA001"/>
        <s v="PURESA002"/>
        <s v="PURESA003"/>
        <s v="PURESA004"/>
        <s v="PURESA005"/>
        <s v="PURESA006"/>
        <s v="PURESA007"/>
        <s v="PURESA008"/>
        <s v="PURESA009"/>
        <s v="PURESA010"/>
        <s v="PURESA011"/>
        <s v="PURESA030"/>
        <s v="PURESA031"/>
        <s v="PUREOK002"/>
        <s v="PUREOK013"/>
        <s v="PUREOK001"/>
        <s v="PUREOK004"/>
        <s v="PUREOK005"/>
        <s v="PUREOK006"/>
        <s v="PUREOK007"/>
        <s v="PUREOK008"/>
        <s v="PUREOK009"/>
        <s v="PUREOK010"/>
        <s v="PUREOK011"/>
        <s v="PUREOK012"/>
        <s v="PUREOK014"/>
        <s v="PUREOK015"/>
        <s v="PUREOK016"/>
        <s v="PUREOK017"/>
        <s v="PUREWAC002"/>
        <s v="PUREWAC003"/>
        <s v="PUREWAC007"/>
        <s v="PUREWAC008"/>
        <s v="PUREWAC009"/>
        <s v="PUREWAC010"/>
        <s v="PUREWAC006"/>
        <s v="PUREPHX014"/>
        <s v="PUREPHX015"/>
        <s v="PUREPHX016"/>
        <s v="PUREPHX017"/>
        <m/>
      </sharedItems>
    </cacheField>
    <cacheField name="Store Name" numFmtId="0">
      <sharedItems containsBlank="1" count="174">
        <s v="Airline"/>
        <s v="Bel Aire"/>
        <s v="HEB-Flour Bluff"/>
        <s v="IngleSide"/>
        <s v="Port"/>
        <s v="Staples"/>
        <s v="Weber"/>
        <s v="WoodLawn"/>
        <s v="6410 WEBER"/>
        <s v="Sherman"/>
        <s v="Clarksville"/>
        <s v="Lamar"/>
        <s v="Bonham"/>
        <s v="Weatherford"/>
        <s v="Mineral Wells"/>
        <s v="Mansfield"/>
        <s v="Crowley"/>
        <s v="49TH ST N"/>
        <s v="N ARMENIA AVE"/>
        <s v="US HIGHWAY 301 S"/>
        <s v="W BLOOMINGDALE AVE"/>
        <s v="College"/>
        <s v="8602 broadway "/>
        <s v="Spencer"/>
        <s v="BACLIFF"/>
        <s v="DICKINSON"/>
        <s v="LAMARQUE"/>
        <s v="GALVESTON"/>
        <s v="PALMER HWY"/>
        <s v="9TH AVE"/>
        <s v="Rockon Nasa"/>
        <s v="WALLER"/>
        <s v="Katy"/>
        <s v="Fondren"/>
        <s v="Rosenberg"/>
        <s v="Gessner"/>
        <s v="Bellaire"/>
        <s v="Chimney rock"/>
        <s v="Westheimer"/>
        <s v="GLENMONT"/>
        <s v="6102 Bissonnet"/>
        <s v="Briar Forest"/>
        <s v="10950 Bissonnet"/>
        <s v="6078 Katy"/>
        <s v="1793 Katy"/>
        <s v=" 8610 IRVINGTON BLVD"/>
        <s v="Aldine"/>
        <s v="Lyons"/>
        <s v="920 E. Tidwell"/>
        <s v="319 New Tidwell"/>
        <s v="8119 Antoine"/>
        <s v="8821 Antoine Dr"/>
        <s v="Uvalde Rd Ste"/>
        <s v="Sheldon"/>
        <s v="Highlands"/>
        <s v="Crosby"/>
        <s v="Baytown"/>
        <s v="7444 tidwell"/>
        <s v="7028 Antoine"/>
        <s v="5801 Main"/>
        <s v="Veterans"/>
        <s v="Tomball"/>
        <s v="Spears"/>
        <s v="New Veterans"/>
        <s v="New Antoine"/>
        <s v="HOLLOW TREE"/>
        <s v="3645 CYPRESS"/>
        <s v="1424A CYPRESS CREEK PKWY"/>
        <s v="Rockon Little York"/>
        <s v="Rockon Aldine Westfield"/>
        <s v="Nederland"/>
        <s v="Memorial"/>
        <s v="Gulfway"/>
        <s v="16Th St"/>
        <s v="Prien Lake"/>
        <s v="Gerstner"/>
        <s v="Rockon Dowlen"/>
        <s v="Rockon Washington"/>
        <s v="Strickland"/>
        <s v="Leesville"/>
        <s v="Sulphur"/>
        <s v="Lufkin-John"/>
        <s v="Lufkin-Chestnut"/>
        <s v="Nacogdoches-South"/>
        <s v="Nacogdoches-North"/>
        <s v="169 BROADWAY"/>
        <s v="N 83RD"/>
        <s v="BASELINE"/>
        <s v="Las Milpas (Pharr)"/>
        <s v="New Cage (Pharr)"/>
        <s v="North Cage"/>
        <s v="E Canton Rd"/>
        <s v="FM 495"/>
        <s v="W DICKER DR"/>
        <s v="N RAUL LONGORIA RD"/>
        <s v="1022 E UNIVERSITY DR"/>
        <s v="Alamo"/>
        <s v="Donna"/>
        <s v="Harlingen"/>
        <s v="Weslaco"/>
        <s v="HWY 83"/>
        <s v="Mercedes"/>
        <s v="Vermont"/>
        <s v="E FRONTAGE"/>
        <s v="E BUSINESS HIGHWAY 83"/>
        <s v="Edinburg"/>
        <s v="Mcallen"/>
        <s v="Rio Grande City"/>
        <s v="San Juan"/>
        <s v="Main"/>
        <s v="W7 Mile"/>
        <s v="W MONTE CRISTO"/>
        <s v="N 23RD ST"/>
        <s v="WEST 3 MILE RD"/>
        <s v="BROWNSVILLE "/>
        <s v="S ZAPATA HWY"/>
        <s v="CALTON"/>
        <s v="CHIHUAHUA"/>
        <s v="HEB - SAN DARIO"/>
        <s v="JAIME ZAPATA"/>
        <s v="MCPHERSON"/>
        <s v="SAN BERNARDO"/>
        <s v="NORTHWEST LOOP"/>
        <s v="7321 SAN PEDRO"/>
        <s v="WALZEM 5231"/>
        <s v="7428 MILITARY"/>
        <s v="VALLEY HI"/>
        <s v="FREDERICKSBURG"/>
        <s v="14042 NACOGDOCHES RD"/>
        <s v="6819 SAN PEDRO"/>
        <s v="1619 Babcock"/>
        <s v="5601 Bandera"/>
        <s v="Bandera"/>
        <s v="Callaghan"/>
        <s v="Converse"/>
        <s v="Culebra"/>
        <s v="Cupples"/>
        <s v="FM 78"/>
        <s v="Hackberry"/>
        <s v="HEB -Las Palmas"/>
        <s v="New Laredo"/>
        <s v="Poteet"/>
        <s v="West HQ"/>
        <s v="SW MILITARY"/>
        <s v="VANCE JACKSON"/>
        <s v="Bartlesville"/>
        <s v="S Yale Ave"/>
        <s v="129TH"/>
        <s v="Garnett"/>
        <s v="Lewis"/>
        <s v="Okmulgee"/>
        <s v="Sand Springs"/>
        <s v="Sheridan"/>
        <s v="Union"/>
        <s v="Payless"/>
        <s v="E. 61st Street"/>
        <s v="E.Admiral PL"/>
        <s v="S Peoria Ave"/>
        <s v=" S GARNETT RD"/>
        <s v="N HARVARD"/>
        <s v="N PEORIA AVE"/>
        <s v="Waco Dr"/>
        <s v="3300 Hillcrest Dr"/>
        <s v="I35"/>
        <s v="N Valley Mills"/>
        <s v="Park Lake"/>
        <s v="S Valley Mills"/>
        <s v="HILLSBORO"/>
        <s v="10429 N 19TH AVE"/>
        <s v="2918 NORTH 40TH ST"/>
        <s v="303 E SOUTHERN AVE STE 107"/>
        <s v="606 E MAIN ST STE 104     "/>
        <m/>
        <s v="13th" u="1"/>
      </sharedItems>
    </cacheField>
    <cacheField name=" store ID2" numFmtId="0">
      <sharedItems containsBlank="1"/>
    </cacheField>
    <cacheField name="Store Address" numFmtId="0">
      <sharedItems containsBlank="1" count="177">
        <s v="1446 Airline Road"/>
        <s v="2777 South Staples Street"/>
        <s v="1145 Waldron Road Suite 510"/>
        <s v="2334 State Highway 361 Suite 134"/>
        <s v="3222 South Port Avenue"/>
        <s v="5702 South Staples Street Suite B8"/>
        <s v="4002 Weber Road"/>
        <s v="3701 Leopard St, Corpus Christi, TX 78408 /3751 Leopard Street"/>
        <s v="6410 WEBER RD"/>
        <s v="738 US Highway 82 East Suite 238"/>
        <s v="1404 Clarksville Street"/>
        <s v="3912 Lamar Avenue"/>
        <s v="2011 North State Highway 121"/>
        <s v="1418 South Main Street"/>
        <s v="2801 Highway 180 East"/>
        <s v="593 West Debbie Lane Suite 101"/>
        <s v="7701 Crowley Road"/>
        <s v="7121 49th St N, Pinellas Park, FL, 33781"/>
        <s v="6804 N Armenia Ave, Tampa, FL, 33604"/>
        <s v="9850 US Highway 301 S, Riverview, FL, 33578"/>
        <s v="809 W Bloomingdale Ave, Brandon, FL, 33511"/>
        <s v="521 College Avenue"/>
        <s v="8602 Broadway Street"/>
        <s v="1618 Spencer Highway Suite B1"/>
        <s v="850 GRAND AVE"/>
        <s v="4224 FM 517 RD E"/>
        <s v="5314 FM 1765"/>
        <s v="2523 BROADWAY ST"/>
        <s v="3005 Palmer Highway, Texas City, TX, 77590"/>
        <s v="2028 9th Avenue North Suite 200, Texas City, TX, 77590"/>
        <s v="552 W Nasa Pkwy, Webster, TX, 77598"/>
        <s v="205 WALLER AVE"/>
        <s v="3051 North Fry Road"/>
        <s v="5710 Fondren Road Suite D"/>
        <s v="5715 Reading Road Suite B"/>
        <s v="6811 South Gessner Road"/>
        <s v="7710 Bellaire Boulevard Suite C"/>
        <s v="11338 Chimney Rock Road"/>
        <s v="10206 Westheimer Road"/>
        <s v="6095 GLENMONT DR"/>
        <s v="6102 Bissonnet Street"/>
        <s v="11102 Briar Forest Suite C"/>
        <s v="10950 Bissonnet Street Suite 280"/>
        <s v="6078 FRY RD STE I              "/>
        <s v="1793 FRY RD ,KATY, TX  77449 "/>
        <s v="8700 IRVINGTON BLVD"/>
        <s v="5355 Aldine Mail Route"/>
        <s v="6715 Lyons Avenue Suite B"/>
        <s v="920 East Tidwell Road"/>
        <s v="319 Tidwell Road D3"/>
        <s v="8119 Antoine DR"/>
        <s v="8821 Antoine Dr, Houston, TX, 77088"/>
        <s v="18 Uvalde Rd Ste D, Houston, TX, 77015"/>
        <s v="777 Sheldon Road Suite I"/>
        <s v="302 North Main Street Suite F"/>
        <s v="105 Kennings Road Suite 13"/>
        <s v="1101 North Alexander Drive Suite 2"/>
        <s v="7444 West Tidwell Road Suite B"/>
        <s v="11130 Airline Drive"/>
        <s v="7028 Antoine Drive"/>
        <s v="5801 Antoine Drive Suite 102"/>
        <s v="10811 VETERANS MEMORIAL DR"/>
        <s v="28418 State Highway 249 Suite B"/>
        <s v="2128 Spears Road Suite 800"/>
        <s v="10201 Veterans Memorial Drive Suite A"/>
        <s v="12228 Antoine Drive Suite D"/>
        <s v="419 HOLLOW TREE LN"/>
        <s v="3645 CYPRESS CREEK PKWY"/>
        <s v="1424A CYPRESS CREEK PKWY"/>
        <s v="740 W Little York Rd, Houston, TX, 77091"/>
        <s v="23221 Aldine Westfield Rd Suite 1400, Spring, TX, 77373"/>
        <s v="3526 Highway 365"/>
        <s v="2427 Memorial Boulevard"/>
        <s v="4010 Gulfway Drive"/>
        <s v="1501 16th Street Suite B"/>
        <s v="301 West Prien Lake Road"/>
        <s v="1717 Gerstner Memorial srive Suite C"/>
        <s v="4105 Dowlen Rd Ste G, Beaumont, TX, 77706"/>
        <s v="2751 Washington Blvd, Beaumont, TX, 77705"/>
        <s v="821 Strickland Drive"/>
        <s v="1111 South 5th Street"/>
        <s v="190 North Cities Service Highway Suite 3"/>
        <s v="3007 South John Redditt Drive"/>
        <s v="103 North Chestnut Street"/>
        <s v="1019 South Street"/>
        <s v="2415 North Street"/>
        <s v="169 E Broadway Rd Mesa, AZ 85210"/>
        <s v="4840 N 83rd Ave Suite 4 Phoenix, AZ 85033"/>
        <s v="1635 E Baseline Rd Suite 110 Phoenix, AZ 85042"/>
        <s v="6708 South Cage Boulevard"/>
        <s v="1300 South Cage Boulevard Suite A"/>
        <s v="614 South Cage Boulevard Suite 5"/>
        <s v="1560E Canton Rd"/>
        <s v="1209 E FM 495 STE 7"/>
        <s v="1901 W DICKER DR STE 1"/>
        <s v="2604 N RAUL LONGORIA RD STE 106"/>
        <s v="1022 E UNIVERSITY DR"/>
        <s v="1716 North Alamo Road Suite A"/>
        <s v="221 North Daniel Salinas Boulevard"/>
        <s v="406A Dixieland Road"/>
        <s v="1004 North Texas Boulevard"/>
        <s v="509 South Expressway 83 Suite A 1B"/>
        <s v="359 N TEXAS AVE"/>
        <s v="601 North Vermont Avenue Suite 120"/>
        <s v="506 E FRONTAGE RD STE 2"/>
        <s v="1513 E BUSINESS HIGHWAY 83 STE 115"/>
        <s v="1649 West University Drive"/>
        <s v="3614 Pecan Boulevard"/>
        <s v="2119 East US Highway 83"/>
        <s v="901 West Expressway 83"/>
        <s v="3502 West Main Avenue"/>
        <s v="6302 West Mile 7 Road Suite A"/>
        <s v="1120 W MONTE CRISTO RD"/>
        <s v="500 N 23RD ST STE 50"/>
        <s v="2105 WEST 3 MILE RD. SUITE 5"/>
        <s v="801 INTERNATIONAL BOULEVARD SUITE 1 "/>
        <s v="604 S ZAPATA HWY SUITE 3B-2"/>
        <s v="502 W CALTON RD STE 202"/>
        <s v="719 CHIHUAHUA ST STE 107"/>
        <s v="4801 SAN DARIO AVE"/>
        <s v="4205 JAIME ZAPATA MEMORIAL HWY STE 21"/>
        <s v="4201 MCPHERSON AVE STE 101"/>
        <s v="3402 SAN BERNARDO AVE STE 2"/>
        <s v="5251 Timberhill  // 5851 Northwest Loop 410"/>
        <s v="7321 San Pedro Avenue Suite 3"/>
        <s v="5231 Walzem Road, Windcrest"/>
        <s v="7428 West Military Drive"/>
        <s v="341 Valley Hi Drive Suite 103"/>
        <s v="3701 Fredericksburg Road,"/>
        <s v="14042 Nacogdoches Road Suite 1A"/>
        <s v="6819 San Pedro Avenue, "/>
        <s v="1619 Babcock Rd, San Antonio, TX, 78229"/>
        <s v="5601 Bandera Rd, San Antonio, TX, 78238"/>
        <s v="606 Bandera Road"/>
        <s v="5835 Culebra Road Suite 103"/>
        <s v="9204 Schaefer Road Suite 101"/>
        <s v="7614 Culebra Road Suite 101"/>
        <s v="1120 Cupples Road"/>
        <s v="8250 FM 78 Suite 106"/>
        <s v="4726 South Hackberry"/>
        <s v="721 Castroville Road"/>
        <s v="465 New Laredo Highway"/>
        <s v="1007 Poteet Jourdanton Freeway"/>
        <s v="3012 West Avenue"/>
        <s v="930 SW Military Dr"/>
        <s v="2329 Vance Jackson"/>
        <s v="2505 Southeast Washington Boulevard Suite A"/>
        <s v="4010 S YALE AVE"/>
        <s v="12915 East 31st Street"/>
        <s v="10915 East 31st Street"/>
        <s v="1614 North Lewis Avenue"/>
        <s v="1205 South Wood Drive"/>
        <s v="426 Plaza Court"/>
        <s v="834 North Sheridan Road"/>
        <s v="4997 South Union Avenue"/>
        <s v="2175 South Sheridan Road"/>
        <s v="2216-2218 E.61ST STREET"/>
        <s v="7307 E ADMIRAL PL"/>
        <s v="6308 S PEORIA AVE"/>
        <s v="1950 S GARNETT RD"/>
        <s v="1515 N HARVARD AVE STE K"/>
        <s v="1605 N PEORIA AVE"/>
        <s v="1300 West Waco Drive"/>
        <s v="3300 Hillcrest Drive"/>
        <s v="903 N INTERSTATE 35"/>
        <s v="1619 North Valley Mills Drive"/>
        <s v="1920 Park Lake Drive"/>
        <s v="1821 South Valley Mills Drive Suite 130"/>
        <s v="346 S COVINGTON ST"/>
        <s v="10429 N 19TH AVE    PHOENIX, AZ  85021      "/>
        <s v="2918 NORTH 40TH ST  PHOENIX, AZ  85018"/>
        <s v="303 E SOUTHERN AVE STE 107   MESA, AZ  85210                                       "/>
        <s v="606 E MAIN ST STE 104     MESA, AZ  85203 "/>
        <m/>
        <s v="3751 Leopard Street" u="1"/>
        <s v="5851 Northwest Loop 410" u="1"/>
        <s v="534 E 13th st" u="1"/>
      </sharedItems>
    </cacheField>
    <cacheField name="Store Manager" numFmtId="0">
      <sharedItems containsBlank="1" count="123">
        <s v="Minhaj / SURAJ SHAIK "/>
        <s v="Farees Syed"/>
        <s v="Habib //Erica"/>
        <s v="Sohail"/>
        <s v="Habib / Ashley"/>
        <s v="~Yaseen  Shaik"/>
        <s v="ASHLEY // Carmen"/>
        <s v="joe/ Abdul Kareem "/>
        <s v="Carmen  //ASHLEY"/>
        <s v="Mohammad Fawad Arshad / Amanda "/>
        <s v="Syed "/>
        <s v="Raul/ Amanda "/>
        <s v="Raul / Amanda"/>
        <s v="/ Amanda  //Faraz Baig"/>
        <s v="Wendy  / Amanda "/>
        <s v=" ~King Khan // Amanda"/>
        <s v="Faraz Baig // Amanda"/>
        <s v="Amarily / Gennys"/>
        <s v="~lei"/>
        <s v="Dayane"/>
        <s v="Abigail Arianna"/>
        <s v="~Laiba Owais"/>
        <s v="Priscilla"/>
        <s v="Saad Daha /Owaisi"/>
        <s v="~Riz Nabi"/>
        <s v="Arslan Ashraf // ~Cesar H165"/>
        <s v="~Muhammad Shezad"/>
        <s v="PriscillaL"/>
        <s v="Danielaa"/>
        <s v="Divya"/>
        <m/>
        <s v="SYED / KHAN"/>
        <s v="Yackie/ Raiyan "/>
        <s v="@~X"/>
        <s v="Diana / @~SL"/>
        <s v="Yackie / Sabiina"/>
        <s v="~Who Cares⁉️  // Karina "/>
        <s v="Hamza"/>
        <s v="INARA"/>
        <s v="-"/>
        <s v="~Sebasthian Oliveros"/>
        <s v="Arman/ KV"/>
        <s v="Umar"/>
        <s v="KHAN / ~Aftab Lakhani"/>
        <s v="sheHRIZ / Ramiro Aleman "/>
        <s v="Kanwal"/>
        <s v="Daniel // RS....(T＿T)"/>
        <s v="~Mariem Farage"/>
        <s v="Saad"/>
        <s v="~Gael M"/>
        <s v="Danyelle"/>
        <s v="Asfand _x000a_ //🐍🐍 1931_x000a_//Affan"/>
        <s v="~Saad Daha"/>
        <s v="Karina"/>
        <s v="~Muhammad Hashir Ali"/>
        <s v="Suzette"/>
        <s v="Sarah//Wendy M"/>
        <s v=" ~Rafay. //~Muhammad Hassan"/>
        <s v="Y C /Bella"/>
        <s v="Jenni"/>
        <s v="~Abdul Ahad"/>
        <s v=" ~✌🏻"/>
        <s v="~Syed Junaid Hussain"/>
        <s v="~Farooq Aziz"/>
        <s v="Jenni/@~Nallely Piñon"/>
        <s v="Nolan // abdu"/>
        <s v="Debanhi // Bupi /"/>
        <s v="~Sohaib Khan"/>
        <s v="JESSY GARZA "/>
        <s v=" Bupi /"/>
        <s v="Mohammed Owais Adil"/>
        <s v="~Faisal Abdul Jabbar//TiEisha"/>
        <s v="ERIN DREW SKILES"/>
        <s v="JOEANN RAMEY"/>
        <s v="Shafqat"/>
        <s v="Aftab"/>
        <s v="Nomaan Rameez"/>
        <s v="Matthew Salinas"/>
        <s v="Eric Sanchez"/>
        <s v="George Garcia"/>
        <s v="Melly"/>
        <s v="Kass"/>
        <s v="Erica"/>
        <s v="Eric"/>
        <s v="Theresa Garcia"/>
        <s v="Edgar Gonzalez"/>
        <s v="MAYRA"/>
        <s v="Mohammed Farooq Ahmed"/>
        <s v="~Navneeth Nani🖤"/>
        <s v="Arshad"/>
        <s v="Nag"/>
        <s v="Shaik"/>
        <s v="Bilal Zubair Chini"/>
        <s v="@~Peter Blue "/>
        <s v="Harry"/>
        <s v=" @~Shaina"/>
        <s v="~pavan kumar"/>
        <s v="SAM"/>
        <s v="Sameer"/>
        <s v="Affan"/>
        <s v="SID"/>
        <s v="David Perez / Zee"/>
        <s v="Adrian Barbosa "/>
        <s v="Andrew G"/>
        <s v="Ismael Nanez "/>
        <s v="Adrian Barbosa"/>
        <s v="Adam Rdz "/>
        <s v="Zee"/>
        <s v="ELLIE"/>
        <s v="DM"/>
        <s v="Efren Chavez"/>
        <s v="Alume"/>
        <s v="Kelli"/>
        <s v="~Janette Anahi Fernandez"/>
        <s v="Shayna"/>
        <s v="Syed Khadar"/>
        <s v="Shehriz"/>
        <s v=" Claw Monroy"/>
        <s v="bryana kelly/ Hyder "/>
        <s v="@~Grecia Nicole "/>
        <s v=" @~Big Leech"/>
        <s v=" ~Claudia M //~Grecia Nicole"/>
        <s v=" Ali"/>
      </sharedItems>
    </cacheField>
    <cacheField name="DM's" numFmtId="0">
      <sharedItems containsBlank="1" count="38">
        <s v="AMIN"/>
        <s v="SHAFQAT."/>
        <s v="DAYANE"/>
        <s v="ASAD"/>
        <s v="ALNAWAZ"/>
        <s v="HASSAN"/>
        <s v="HASSAN2"/>
        <s v="NOOR"/>
        <s v="AQEEL"/>
        <s v="BUPI"/>
        <s v="SHAFQAT"/>
        <s v="Rameezuddin"/>
        <s v="ERIC/MATT/George"/>
        <s v="MAYRA"/>
        <s v="SULTAN"/>
        <s v="MAJID"/>
        <s v="ZEE"/>
        <s v="-"/>
        <s v="SHOAIB"/>
        <s v="SHEHRIZ"/>
        <m/>
        <s v="Almin" u="1"/>
        <s v="SAHIL" u="1"/>
        <s v="Sadik" u="1"/>
        <s v="TONY" u="1"/>
        <s v="CYNTHIA" u="1"/>
        <s v="CORPUS" u="1"/>
        <s v="Usama" u="1"/>
        <s v="Maaz" u="1"/>
        <s v="IRASEMA" u="1"/>
        <s v="KABIR" u="1"/>
        <s v="KASSANDRA" u="1"/>
        <s v="Sikandar Lohani" u="1"/>
        <s v="EDGAR GONZALEZ" u="1"/>
        <s v="SYED" u="1"/>
        <s v="IMRAN" u="1"/>
        <s v="AHMED" u="1"/>
        <s v="TIFFANY" u="1"/>
      </sharedItems>
    </cacheField>
    <cacheField name="Status" numFmtId="0">
      <sharedItems containsBlank="1" count="4">
        <s v="Active"/>
        <s v="Closed"/>
        <s v="Sold out"/>
        <m/>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84">
  <r>
    <n v="1"/>
    <n v="70817942"/>
    <x v="0"/>
    <x v="0"/>
    <x v="0"/>
    <s v="PURECOR001"/>
    <x v="0"/>
    <x v="0"/>
    <x v="0"/>
    <x v="0"/>
  </r>
  <r>
    <n v="2"/>
    <n v="70817941"/>
    <x v="0"/>
    <x v="1"/>
    <x v="1"/>
    <s v="PURECOR002"/>
    <x v="1"/>
    <x v="1"/>
    <x v="0"/>
    <x v="0"/>
  </r>
  <r>
    <n v="3"/>
    <n v="70817937"/>
    <x v="0"/>
    <x v="2"/>
    <x v="2"/>
    <s v="PURECOR003"/>
    <x v="2"/>
    <x v="2"/>
    <x v="0"/>
    <x v="0"/>
  </r>
  <r>
    <n v="4"/>
    <n v="70817944"/>
    <x v="0"/>
    <x v="3"/>
    <x v="3"/>
    <s v="PURECOR005"/>
    <x v="3"/>
    <x v="3"/>
    <x v="0"/>
    <x v="0"/>
  </r>
  <r>
    <n v="5"/>
    <n v="70817943"/>
    <x v="0"/>
    <x v="4"/>
    <x v="4"/>
    <s v="PURECOR008"/>
    <x v="4"/>
    <x v="4"/>
    <x v="0"/>
    <x v="0"/>
  </r>
  <r>
    <n v="6"/>
    <n v="70817939"/>
    <x v="0"/>
    <x v="5"/>
    <x v="5"/>
    <s v="PURECOR010"/>
    <x v="5"/>
    <x v="5"/>
    <x v="0"/>
    <x v="0"/>
  </r>
  <r>
    <n v="7"/>
    <n v="70817938"/>
    <x v="0"/>
    <x v="6"/>
    <x v="6"/>
    <s v="PURECOR011"/>
    <x v="6"/>
    <x v="6"/>
    <x v="0"/>
    <x v="1"/>
  </r>
  <r>
    <n v="8"/>
    <n v="70817940"/>
    <x v="0"/>
    <x v="7"/>
    <x v="7"/>
    <s v="PURECOR012"/>
    <x v="7"/>
    <x v="7"/>
    <x v="0"/>
    <x v="0"/>
  </r>
  <r>
    <n v="9"/>
    <n v="70846622"/>
    <x v="0"/>
    <x v="8"/>
    <x v="8"/>
    <s v="PURECOR013"/>
    <x v="8"/>
    <x v="8"/>
    <x v="0"/>
    <x v="0"/>
  </r>
  <r>
    <n v="10"/>
    <n v="70817909"/>
    <x v="1"/>
    <x v="9"/>
    <x v="9"/>
    <s v="PUREPAR001"/>
    <x v="9"/>
    <x v="9"/>
    <x v="1"/>
    <x v="0"/>
  </r>
  <r>
    <n v="11"/>
    <n v="70817905"/>
    <x v="1"/>
    <x v="10"/>
    <x v="10"/>
    <s v="PUREPAR002"/>
    <x v="10"/>
    <x v="10"/>
    <x v="1"/>
    <x v="0"/>
  </r>
  <r>
    <n v="12"/>
    <n v="70817914"/>
    <x v="1"/>
    <x v="11"/>
    <x v="11"/>
    <s v="PUREPAR003"/>
    <x v="11"/>
    <x v="11"/>
    <x v="1"/>
    <x v="0"/>
  </r>
  <r>
    <n v="13"/>
    <n v="70817907"/>
    <x v="1"/>
    <x v="12"/>
    <x v="12"/>
    <s v="PUREPAR004"/>
    <x v="12"/>
    <x v="12"/>
    <x v="1"/>
    <x v="0"/>
  </r>
  <r>
    <n v="14"/>
    <n v="70817916"/>
    <x v="1"/>
    <x v="13"/>
    <x v="13"/>
    <s v="PUREPAR005"/>
    <x v="13"/>
    <x v="13"/>
    <x v="1"/>
    <x v="0"/>
  </r>
  <r>
    <n v="15"/>
    <n v="70817902"/>
    <x v="1"/>
    <x v="14"/>
    <x v="14"/>
    <s v="PUREPAR006"/>
    <x v="14"/>
    <x v="14"/>
    <x v="1"/>
    <x v="0"/>
  </r>
  <r>
    <n v="16"/>
    <n v="70817904"/>
    <x v="1"/>
    <x v="15"/>
    <x v="15"/>
    <s v="PUREPAR007"/>
    <x v="15"/>
    <x v="15"/>
    <x v="1"/>
    <x v="0"/>
  </r>
  <r>
    <n v="17"/>
    <n v="70817908"/>
    <x v="1"/>
    <x v="16"/>
    <x v="16"/>
    <s v="PUREPAR008"/>
    <x v="16"/>
    <x v="16"/>
    <x v="1"/>
    <x v="0"/>
  </r>
  <r>
    <n v="18"/>
    <n v="70851175"/>
    <x v="2"/>
    <x v="17"/>
    <x v="17"/>
    <s v="PUREFL001"/>
    <x v="17"/>
    <x v="17"/>
    <x v="2"/>
    <x v="0"/>
  </r>
  <r>
    <n v="19"/>
    <n v="70851176"/>
    <x v="2"/>
    <x v="18"/>
    <x v="18"/>
    <s v="PUREFL002"/>
    <x v="18"/>
    <x v="18"/>
    <x v="2"/>
    <x v="0"/>
  </r>
  <r>
    <n v="20"/>
    <n v="70851177"/>
    <x v="2"/>
    <x v="19"/>
    <x v="19"/>
    <s v="PUREFL003"/>
    <x v="19"/>
    <x v="19"/>
    <x v="2"/>
    <x v="0"/>
  </r>
  <r>
    <n v="21"/>
    <n v="70851178"/>
    <x v="2"/>
    <x v="20"/>
    <x v="20"/>
    <s v="PUREFL004"/>
    <x v="20"/>
    <x v="20"/>
    <x v="2"/>
    <x v="0"/>
  </r>
  <r>
    <n v="22"/>
    <n v="70818016"/>
    <x v="3"/>
    <x v="21"/>
    <x v="21"/>
    <s v="PUREHOU038"/>
    <x v="21"/>
    <x v="21"/>
    <x v="3"/>
    <x v="0"/>
  </r>
  <r>
    <n v="23"/>
    <n v="70817982"/>
    <x v="3"/>
    <x v="22"/>
    <x v="22"/>
    <s v="PUREHOU059"/>
    <x v="22"/>
    <x v="22"/>
    <x v="3"/>
    <x v="0"/>
  </r>
  <r>
    <n v="24"/>
    <n v="70817985"/>
    <x v="3"/>
    <x v="23"/>
    <x v="23"/>
    <s v="PUREHOU063"/>
    <x v="23"/>
    <x v="23"/>
    <x v="3"/>
    <x v="0"/>
  </r>
  <r>
    <n v="25"/>
    <n v="70818074"/>
    <x v="3"/>
    <x v="24"/>
    <x v="24"/>
    <s v="PUREHOU105"/>
    <x v="24"/>
    <x v="24"/>
    <x v="3"/>
    <x v="0"/>
  </r>
  <r>
    <n v="26"/>
    <n v="70818075"/>
    <x v="3"/>
    <x v="25"/>
    <x v="25"/>
    <s v="PUREHOU106"/>
    <x v="25"/>
    <x v="25"/>
    <x v="3"/>
    <x v="0"/>
  </r>
  <r>
    <n v="27"/>
    <n v="70818077"/>
    <x v="3"/>
    <x v="26"/>
    <x v="26"/>
    <s v="PUREHOU107"/>
    <x v="26"/>
    <x v="26"/>
    <x v="3"/>
    <x v="0"/>
  </r>
  <r>
    <n v="28"/>
    <n v="70818076"/>
    <x v="3"/>
    <x v="27"/>
    <x v="27"/>
    <s v="PUREHOU108"/>
    <x v="27"/>
    <x v="27"/>
    <x v="3"/>
    <x v="0"/>
  </r>
  <r>
    <n v="29"/>
    <n v="70850781"/>
    <x v="3"/>
    <x v="28"/>
    <x v="28"/>
    <s v="PUREHOU118"/>
    <x v="28"/>
    <x v="28"/>
    <x v="3"/>
    <x v="1"/>
  </r>
  <r>
    <n v="30"/>
    <n v="70850782"/>
    <x v="3"/>
    <x v="29"/>
    <x v="29"/>
    <s v="PUREHOU119"/>
    <x v="29"/>
    <x v="29"/>
    <x v="3"/>
    <x v="0"/>
  </r>
  <r>
    <n v="31"/>
    <n v="70857975"/>
    <x v="3"/>
    <x v="30"/>
    <x v="30"/>
    <s v="PUREHOU130"/>
    <x v="30"/>
    <x v="30"/>
    <x v="3"/>
    <x v="0"/>
  </r>
  <r>
    <n v="32"/>
    <n v="70818052"/>
    <x v="4"/>
    <x v="31"/>
    <x v="31"/>
    <s v="PUREHOU039"/>
    <x v="31"/>
    <x v="31"/>
    <x v="4"/>
    <x v="0"/>
  </r>
  <r>
    <n v="33"/>
    <n v="70817984"/>
    <x v="4"/>
    <x v="32"/>
    <x v="32"/>
    <s v="PUREHOU030"/>
    <x v="32"/>
    <x v="32"/>
    <x v="4"/>
    <x v="0"/>
  </r>
  <r>
    <n v="34"/>
    <n v="70817999"/>
    <x v="4"/>
    <x v="33"/>
    <x v="33"/>
    <s v="PUREHOU031"/>
    <x v="33"/>
    <x v="33"/>
    <x v="4"/>
    <x v="2"/>
  </r>
  <r>
    <n v="35"/>
    <n v="70817997"/>
    <x v="4"/>
    <x v="34"/>
    <x v="34"/>
    <s v="PUREHOU035"/>
    <x v="34"/>
    <x v="34"/>
    <x v="4"/>
    <x v="0"/>
  </r>
  <r>
    <n v="36"/>
    <n v="70818078"/>
    <x v="4"/>
    <x v="35"/>
    <x v="35"/>
    <s v="PUREHOU037"/>
    <x v="35"/>
    <x v="35"/>
    <x v="4"/>
    <x v="0"/>
  </r>
  <r>
    <n v="37"/>
    <n v="70818030"/>
    <x v="4"/>
    <x v="36"/>
    <x v="36"/>
    <s v="PUREHOU041"/>
    <x v="36"/>
    <x v="36"/>
    <x v="4"/>
    <x v="0"/>
  </r>
  <r>
    <n v="38"/>
    <n v="70818013"/>
    <x v="4"/>
    <x v="37"/>
    <x v="37"/>
    <s v="PUREHOU042"/>
    <x v="37"/>
    <x v="37"/>
    <x v="4"/>
    <x v="0"/>
  </r>
  <r>
    <n v="39"/>
    <n v="70818015"/>
    <x v="4"/>
    <x v="38"/>
    <x v="38"/>
    <s v="PUREHOU044"/>
    <x v="38"/>
    <x v="38"/>
    <x v="4"/>
    <x v="1"/>
  </r>
  <r>
    <n v="40"/>
    <n v="70818033"/>
    <x v="4"/>
    <x v="39"/>
    <x v="39"/>
    <s v="PUREHOU048"/>
    <x v="39"/>
    <x v="39"/>
    <x v="4"/>
    <x v="1"/>
  </r>
  <r>
    <n v="41"/>
    <n v="70817998"/>
    <x v="4"/>
    <x v="40"/>
    <x v="40"/>
    <s v="PUREHOU065"/>
    <x v="40"/>
    <x v="40"/>
    <x v="4"/>
    <x v="0"/>
  </r>
  <r>
    <n v="42"/>
    <n v="70818006"/>
    <x v="4"/>
    <x v="41"/>
    <x v="41"/>
    <s v="PUREHOU066"/>
    <x v="41"/>
    <x v="41"/>
    <x v="4"/>
    <x v="0"/>
  </r>
  <r>
    <n v="43"/>
    <n v="70817987"/>
    <x v="4"/>
    <x v="42"/>
    <x v="42"/>
    <s v="PUREHOU067"/>
    <x v="42"/>
    <x v="42"/>
    <x v="4"/>
    <x v="0"/>
  </r>
  <r>
    <n v="44"/>
    <n v="70847345"/>
    <x v="4"/>
    <x v="43"/>
    <x v="43"/>
    <s v="PUREHOU112"/>
    <x v="43"/>
    <x v="43"/>
    <x v="4"/>
    <x v="0"/>
  </r>
  <r>
    <n v="45"/>
    <n v="70847367"/>
    <x v="4"/>
    <x v="44"/>
    <x v="44"/>
    <s v="PUREHOU113"/>
    <x v="44"/>
    <x v="44"/>
    <x v="4"/>
    <x v="0"/>
  </r>
  <r>
    <n v="46"/>
    <n v="70818015"/>
    <x v="4"/>
    <x v="45"/>
    <x v="38"/>
    <s v="PUREHOU115"/>
    <x v="38"/>
    <x v="38"/>
    <x v="4"/>
    <x v="0"/>
  </r>
  <r>
    <n v="47"/>
    <n v="70848005"/>
    <x v="5"/>
    <x v="46"/>
    <x v="45"/>
    <s v="PUREHOU114"/>
    <x v="45"/>
    <x v="45"/>
    <x v="5"/>
    <x v="0"/>
  </r>
  <r>
    <n v="48"/>
    <n v="70817989"/>
    <x v="5"/>
    <x v="47"/>
    <x v="46"/>
    <s v="PUREHOU024"/>
    <x v="46"/>
    <x v="46"/>
    <x v="5"/>
    <x v="0"/>
  </r>
  <r>
    <n v="49"/>
    <n v="70817988"/>
    <x v="5"/>
    <x v="48"/>
    <x v="47"/>
    <s v="PUREHOU028"/>
    <x v="47"/>
    <x v="47"/>
    <x v="5"/>
    <x v="0"/>
  </r>
  <r>
    <n v="50"/>
    <n v="70818018"/>
    <x v="5"/>
    <x v="49"/>
    <x v="48"/>
    <s v="PUREHOU036"/>
    <x v="48"/>
    <x v="48"/>
    <x v="5"/>
    <x v="0"/>
  </r>
  <r>
    <n v="51"/>
    <n v="70818022"/>
    <x v="5"/>
    <x v="50"/>
    <x v="49"/>
    <s v="PUREHOU043"/>
    <x v="49"/>
    <x v="49"/>
    <x v="5"/>
    <x v="0"/>
  </r>
  <r>
    <n v="52"/>
    <n v="70833319"/>
    <x v="5"/>
    <x v="51"/>
    <x v="50"/>
    <s v="PUREHOU111"/>
    <x v="50"/>
    <x v="50"/>
    <x v="5"/>
    <x v="0"/>
  </r>
  <r>
    <n v="53"/>
    <n v="70857973"/>
    <x v="5"/>
    <x v="52"/>
    <x v="51"/>
    <s v="PUREHOU131"/>
    <x v="51"/>
    <x v="30"/>
    <x v="6"/>
    <x v="0"/>
  </r>
  <r>
    <n v="54"/>
    <n v="70857977"/>
    <x v="5"/>
    <x v="53"/>
    <x v="52"/>
    <s v="PUREHOU132"/>
    <x v="52"/>
    <x v="30"/>
    <x v="6"/>
    <x v="0"/>
  </r>
  <r>
    <n v="55"/>
    <n v="70818032"/>
    <x v="5"/>
    <x v="54"/>
    <x v="53"/>
    <s v="PUREHOU047"/>
    <x v="53"/>
    <x v="51"/>
    <x v="6"/>
    <x v="0"/>
  </r>
  <r>
    <n v="56"/>
    <n v="70817986"/>
    <x v="5"/>
    <x v="55"/>
    <x v="54"/>
    <s v="PUREHOU061"/>
    <x v="54"/>
    <x v="52"/>
    <x v="6"/>
    <x v="0"/>
  </r>
  <r>
    <n v="57"/>
    <n v="70818045"/>
    <x v="5"/>
    <x v="56"/>
    <x v="55"/>
    <s v="PUREHOU087"/>
    <x v="55"/>
    <x v="53"/>
    <x v="6"/>
    <x v="0"/>
  </r>
  <r>
    <n v="58"/>
    <n v="70818050"/>
    <x v="5"/>
    <x v="57"/>
    <x v="56"/>
    <s v="PUREHOU088"/>
    <x v="56"/>
    <x v="54"/>
    <x v="6"/>
    <x v="0"/>
  </r>
  <r>
    <n v="59"/>
    <n v="70817990"/>
    <x v="6"/>
    <x v="58"/>
    <x v="57"/>
    <s v="PUREHOU027"/>
    <x v="57"/>
    <x v="55"/>
    <x v="7"/>
    <x v="0"/>
  </r>
  <r>
    <n v="60"/>
    <n v="70818004"/>
    <x v="6"/>
    <x v="59"/>
    <x v="0"/>
    <s v="PUREHOU032"/>
    <x v="58"/>
    <x v="56"/>
    <x v="7"/>
    <x v="0"/>
  </r>
  <r>
    <n v="61"/>
    <n v="70818002"/>
    <x v="6"/>
    <x v="60"/>
    <x v="58"/>
    <s v="PUREHOU033"/>
    <x v="59"/>
    <x v="57"/>
    <x v="7"/>
    <x v="0"/>
  </r>
  <r>
    <n v="62"/>
    <n v="70818005"/>
    <x v="6"/>
    <x v="61"/>
    <x v="59"/>
    <s v="PUREHOU034"/>
    <x v="60"/>
    <x v="58"/>
    <x v="7"/>
    <x v="0"/>
  </r>
  <r>
    <n v="63"/>
    <n v="70818017"/>
    <x v="6"/>
    <x v="62"/>
    <x v="60"/>
    <s v="PUREHOU040"/>
    <x v="61"/>
    <x v="59"/>
    <x v="7"/>
    <x v="1"/>
  </r>
  <r>
    <n v="64"/>
    <n v="70818021"/>
    <x v="6"/>
    <x v="63"/>
    <x v="61"/>
    <s v="PUREHOU045"/>
    <x v="62"/>
    <x v="60"/>
    <x v="7"/>
    <x v="0"/>
  </r>
  <r>
    <n v="65"/>
    <n v="70818029"/>
    <x v="6"/>
    <x v="64"/>
    <x v="62"/>
    <s v="PUREHOU053"/>
    <x v="63"/>
    <x v="59"/>
    <x v="7"/>
    <x v="1"/>
  </r>
  <r>
    <n v="66"/>
    <n v="70818070"/>
    <x v="6"/>
    <x v="65"/>
    <x v="63"/>
    <s v="PUREHOU098"/>
    <x v="64"/>
    <x v="61"/>
    <x v="7"/>
    <x v="0"/>
  </r>
  <r>
    <n v="67"/>
    <n v="70818071"/>
    <x v="6"/>
    <x v="66"/>
    <x v="64"/>
    <s v="PUREHOU099"/>
    <x v="65"/>
    <x v="62"/>
    <x v="7"/>
    <x v="0"/>
  </r>
  <r>
    <n v="68"/>
    <n v="70818072"/>
    <x v="6"/>
    <x v="67"/>
    <x v="65"/>
    <s v="PUREHOU100"/>
    <x v="66"/>
    <x v="63"/>
    <x v="7"/>
    <x v="0"/>
  </r>
  <r>
    <n v="69"/>
    <n v="70818064"/>
    <x v="6"/>
    <x v="68"/>
    <x v="66"/>
    <s v="PUREHOU101"/>
    <x v="67"/>
    <x v="64"/>
    <x v="7"/>
    <x v="0"/>
  </r>
  <r>
    <n v="70"/>
    <n v="70818065"/>
    <x v="6"/>
    <x v="69"/>
    <x v="67"/>
    <s v="PUREHOU102"/>
    <x v="68"/>
    <x v="65"/>
    <x v="7"/>
    <x v="0"/>
  </r>
  <r>
    <n v="71"/>
    <n v="70857979"/>
    <x v="6"/>
    <x v="70"/>
    <x v="68"/>
    <s v="PUREHOU134"/>
    <x v="69"/>
    <x v="30"/>
    <x v="7"/>
    <x v="0"/>
  </r>
  <r>
    <n v="72"/>
    <n v="70857978"/>
    <x v="6"/>
    <x v="71"/>
    <x v="69"/>
    <s v="PUREHOU135"/>
    <x v="70"/>
    <x v="30"/>
    <x v="7"/>
    <x v="0"/>
  </r>
  <r>
    <n v="73"/>
    <n v="70818049"/>
    <x v="7"/>
    <x v="72"/>
    <x v="70"/>
    <s v="PUREHOU089"/>
    <x v="71"/>
    <x v="66"/>
    <x v="8"/>
    <x v="0"/>
  </r>
  <r>
    <n v="74"/>
    <n v="70818056"/>
    <x v="7"/>
    <x v="73"/>
    <x v="71"/>
    <s v="PUREHOU090"/>
    <x v="72"/>
    <x v="67"/>
    <x v="8"/>
    <x v="0"/>
  </r>
  <r>
    <n v="75"/>
    <n v="70818048"/>
    <x v="7"/>
    <x v="74"/>
    <x v="72"/>
    <s v="PUREHOU091"/>
    <x v="73"/>
    <x v="68"/>
    <x v="8"/>
    <x v="0"/>
  </r>
  <r>
    <n v="76"/>
    <n v="70818047"/>
    <x v="7"/>
    <x v="75"/>
    <x v="73"/>
    <s v="PUREHOU093"/>
    <x v="74"/>
    <x v="69"/>
    <x v="8"/>
    <x v="0"/>
  </r>
  <r>
    <n v="77"/>
    <n v="70818058"/>
    <x v="7"/>
    <x v="76"/>
    <x v="74"/>
    <s v="PUREHOU094"/>
    <x v="75"/>
    <x v="70"/>
    <x v="8"/>
    <x v="0"/>
  </r>
  <r>
    <n v="78"/>
    <n v="70818060"/>
    <x v="7"/>
    <x v="77"/>
    <x v="75"/>
    <s v="PUREHOU095"/>
    <x v="76"/>
    <x v="71"/>
    <x v="8"/>
    <x v="0"/>
  </r>
  <r>
    <n v="79"/>
    <n v="70857976"/>
    <x v="7"/>
    <x v="78"/>
    <x v="76"/>
    <s v="PUREHOU129"/>
    <x v="77"/>
    <x v="30"/>
    <x v="8"/>
    <x v="0"/>
  </r>
  <r>
    <n v="80"/>
    <n v="70857974"/>
    <x v="7"/>
    <x v="79"/>
    <x v="77"/>
    <s v="PUREHOU133"/>
    <x v="78"/>
    <x v="30"/>
    <x v="8"/>
    <x v="0"/>
  </r>
  <r>
    <n v="81"/>
    <n v="70818057"/>
    <x v="7"/>
    <x v="80"/>
    <x v="78"/>
    <s v="PUREHOU092"/>
    <x v="79"/>
    <x v="72"/>
    <x v="9"/>
    <x v="1"/>
  </r>
  <r>
    <n v="82"/>
    <n v="70818061"/>
    <x v="7"/>
    <x v="81"/>
    <x v="79"/>
    <s v="PUREHOU096"/>
    <x v="80"/>
    <x v="73"/>
    <x v="9"/>
    <x v="1"/>
  </r>
  <r>
    <n v="83"/>
    <n v="70818059"/>
    <x v="7"/>
    <x v="82"/>
    <x v="80"/>
    <s v="PUREHOU097"/>
    <x v="81"/>
    <x v="72"/>
    <x v="9"/>
    <x v="1"/>
  </r>
  <r>
    <n v="84"/>
    <n v="70817918"/>
    <x v="8"/>
    <x v="83"/>
    <x v="81"/>
    <s v="PURELUF001"/>
    <x v="82"/>
    <x v="74"/>
    <x v="10"/>
    <x v="0"/>
  </r>
  <r>
    <n v="85"/>
    <n v="70817921"/>
    <x v="8"/>
    <x v="84"/>
    <x v="82"/>
    <s v="PURELUF002"/>
    <x v="83"/>
    <x v="74"/>
    <x v="10"/>
    <x v="0"/>
  </r>
  <r>
    <n v="86"/>
    <n v="70817919"/>
    <x v="8"/>
    <x v="85"/>
    <x v="83"/>
    <s v="PURELUF003"/>
    <x v="84"/>
    <x v="74"/>
    <x v="10"/>
    <x v="0"/>
  </r>
  <r>
    <n v="87"/>
    <n v="70817920"/>
    <x v="8"/>
    <x v="86"/>
    <x v="84"/>
    <s v="PURELUF004"/>
    <x v="85"/>
    <x v="74"/>
    <x v="10"/>
    <x v="0"/>
  </r>
  <r>
    <n v="88"/>
    <n v="70858024"/>
    <x v="9"/>
    <x v="87"/>
    <x v="85"/>
    <s v="PUREPHX18 "/>
    <x v="86"/>
    <x v="75"/>
    <x v="11"/>
    <x v="0"/>
  </r>
  <r>
    <n v="89"/>
    <n v="70858023"/>
    <x v="9"/>
    <x v="88"/>
    <x v="86"/>
    <s v="PUREPHX19 "/>
    <x v="87"/>
    <x v="3"/>
    <x v="11"/>
    <x v="0"/>
  </r>
  <r>
    <n v="90"/>
    <n v="70858025"/>
    <x v="9"/>
    <x v="89"/>
    <x v="87"/>
    <s v="PUREPHX20 "/>
    <x v="88"/>
    <x v="76"/>
    <x v="11"/>
    <x v="0"/>
  </r>
  <r>
    <n v="91"/>
    <n v="70817970"/>
    <x v="10"/>
    <x v="90"/>
    <x v="88"/>
    <s v="PURERGV012"/>
    <x v="89"/>
    <x v="77"/>
    <x v="12"/>
    <x v="0"/>
  </r>
  <r>
    <n v="92"/>
    <n v="70817968"/>
    <x v="10"/>
    <x v="91"/>
    <x v="89"/>
    <s v="PURERGV015"/>
    <x v="90"/>
    <x v="77"/>
    <x v="12"/>
    <x v="0"/>
  </r>
  <r>
    <n v="93"/>
    <n v="70817947"/>
    <x v="10"/>
    <x v="92"/>
    <x v="90"/>
    <s v="PURERGV025"/>
    <x v="91"/>
    <x v="77"/>
    <x v="12"/>
    <x v="0"/>
  </r>
  <r>
    <n v="94"/>
    <n v="70833339"/>
    <x v="10"/>
    <x v="93"/>
    <x v="91"/>
    <s v="PURERGV026"/>
    <x v="92"/>
    <x v="78"/>
    <x v="12"/>
    <x v="0"/>
  </r>
  <r>
    <n v="95"/>
    <n v="70846702"/>
    <x v="10"/>
    <x v="94"/>
    <x v="92"/>
    <s v="PURERGV027"/>
    <x v="93"/>
    <x v="77"/>
    <x v="12"/>
    <x v="0"/>
  </r>
  <r>
    <n v="96"/>
    <n v="70846706"/>
    <x v="10"/>
    <x v="95"/>
    <x v="93"/>
    <s v="PURERGV032"/>
    <x v="94"/>
    <x v="79"/>
    <x v="12"/>
    <x v="0"/>
  </r>
  <r>
    <n v="97"/>
    <n v="70846709"/>
    <x v="10"/>
    <x v="96"/>
    <x v="94"/>
    <s v="PURERGV035"/>
    <x v="95"/>
    <x v="77"/>
    <x v="12"/>
    <x v="0"/>
  </r>
  <r>
    <n v="98"/>
    <n v="70846710"/>
    <x v="10"/>
    <x v="97"/>
    <x v="95"/>
    <s v="PURERGV036"/>
    <x v="96"/>
    <x v="78"/>
    <x v="12"/>
    <x v="0"/>
  </r>
  <r>
    <n v="99"/>
    <n v="70817956"/>
    <x v="10"/>
    <x v="98"/>
    <x v="96"/>
    <s v="PURERGV001"/>
    <x v="97"/>
    <x v="80"/>
    <x v="12"/>
    <x v="0"/>
  </r>
  <r>
    <n v="100"/>
    <n v="70817975"/>
    <x v="10"/>
    <x v="99"/>
    <x v="97"/>
    <s v="PURERGV002"/>
    <x v="98"/>
    <x v="81"/>
    <x v="12"/>
    <x v="0"/>
  </r>
  <r>
    <n v="101"/>
    <n v="70817949"/>
    <x v="10"/>
    <x v="100"/>
    <x v="98"/>
    <s v="PURERGV004"/>
    <x v="99"/>
    <x v="82"/>
    <x v="12"/>
    <x v="0"/>
  </r>
  <r>
    <n v="102"/>
    <n v="70817973"/>
    <x v="10"/>
    <x v="101"/>
    <x v="99"/>
    <s v="PURERGV010"/>
    <x v="100"/>
    <x v="83"/>
    <x v="12"/>
    <x v="0"/>
  </r>
  <r>
    <n v="103"/>
    <n v="70817950"/>
    <x v="10"/>
    <x v="102"/>
    <x v="100"/>
    <s v="PURERGV011"/>
    <x v="101"/>
    <x v="39"/>
    <x v="12"/>
    <x v="1"/>
  </r>
  <r>
    <n v="104"/>
    <n v="70817971"/>
    <x v="10"/>
    <x v="103"/>
    <x v="101"/>
    <s v="PURERGV014"/>
    <x v="102"/>
    <x v="78"/>
    <x v="12"/>
    <x v="0"/>
  </r>
  <r>
    <n v="105"/>
    <n v="70817969"/>
    <x v="10"/>
    <x v="104"/>
    <x v="102"/>
    <s v="PURERGV018"/>
    <x v="103"/>
    <x v="39"/>
    <x v="12"/>
    <x v="1"/>
  </r>
  <r>
    <n v="106"/>
    <n v="70846703"/>
    <x v="10"/>
    <x v="105"/>
    <x v="103"/>
    <s v="PURERGV028"/>
    <x v="104"/>
    <x v="78"/>
    <x v="12"/>
    <x v="0"/>
  </r>
  <r>
    <n v="107"/>
    <n v="70846705"/>
    <x v="10"/>
    <x v="106"/>
    <x v="104"/>
    <s v="PURERGV031"/>
    <x v="105"/>
    <x v="83"/>
    <x v="12"/>
    <x v="0"/>
  </r>
  <r>
    <n v="108"/>
    <n v="70817972"/>
    <x v="10"/>
    <x v="107"/>
    <x v="105"/>
    <s v="PURERGV003"/>
    <x v="106"/>
    <x v="84"/>
    <x v="12"/>
    <x v="0"/>
  </r>
  <r>
    <n v="109"/>
    <n v="70817967"/>
    <x v="10"/>
    <x v="108"/>
    <x v="106"/>
    <s v="PURERGV005"/>
    <x v="107"/>
    <x v="79"/>
    <x v="12"/>
    <x v="0"/>
  </r>
  <r>
    <n v="110"/>
    <n v="70817974"/>
    <x v="10"/>
    <x v="109"/>
    <x v="107"/>
    <s v="PURERGV008"/>
    <x v="108"/>
    <x v="84"/>
    <x v="12"/>
    <x v="1"/>
  </r>
  <r>
    <n v="111"/>
    <n v="70817966"/>
    <x v="10"/>
    <x v="110"/>
    <x v="108"/>
    <s v="PURERGV009"/>
    <x v="109"/>
    <x v="79"/>
    <x v="12"/>
    <x v="0"/>
  </r>
  <r>
    <n v="112"/>
    <n v="70817955"/>
    <x v="10"/>
    <x v="111"/>
    <x v="109"/>
    <s v="PURERGV013"/>
    <x v="110"/>
    <x v="84"/>
    <x v="12"/>
    <x v="0"/>
  </r>
  <r>
    <n v="113"/>
    <n v="70817959"/>
    <x v="10"/>
    <x v="112"/>
    <x v="110"/>
    <s v="PURERGV019"/>
    <x v="111"/>
    <x v="84"/>
    <x v="12"/>
    <x v="0"/>
  </r>
  <r>
    <n v="114"/>
    <n v="70846704"/>
    <x v="10"/>
    <x v="113"/>
    <x v="111"/>
    <s v="PURERGV030"/>
    <x v="112"/>
    <x v="79"/>
    <x v="12"/>
    <x v="0"/>
  </r>
  <r>
    <n v="115"/>
    <n v="70846707"/>
    <x v="10"/>
    <x v="114"/>
    <x v="112"/>
    <s v="PURERGV033"/>
    <x v="113"/>
    <x v="79"/>
    <x v="12"/>
    <x v="0"/>
  </r>
  <r>
    <n v="116"/>
    <n v="70846708"/>
    <x v="10"/>
    <x v="115"/>
    <x v="113"/>
    <s v="PURERGV034"/>
    <x v="114"/>
    <x v="84"/>
    <x v="12"/>
    <x v="0"/>
  </r>
  <r>
    <n v="117"/>
    <n v="70850778"/>
    <x v="10"/>
    <x v="116"/>
    <x v="114"/>
    <s v="PURERGV037"/>
    <x v="115"/>
    <x v="85"/>
    <x v="12"/>
    <x v="0"/>
  </r>
  <r>
    <n v="118"/>
    <n v="70846711"/>
    <x v="11"/>
    <x v="117"/>
    <x v="115"/>
    <s v="PURELAR007"/>
    <x v="116"/>
    <x v="86"/>
    <x v="13"/>
    <x v="1"/>
  </r>
  <r>
    <n v="119"/>
    <n v="70849179"/>
    <x v="11"/>
    <x v="118"/>
    <x v="116"/>
    <s v="PURELAR009"/>
    <x v="117"/>
    <x v="39"/>
    <x v="14"/>
    <x v="0"/>
  </r>
  <r>
    <n v="120"/>
    <n v="70849175"/>
    <x v="11"/>
    <x v="119"/>
    <x v="117"/>
    <s v="PURELAR010"/>
    <x v="118"/>
    <x v="39"/>
    <x v="14"/>
    <x v="0"/>
  </r>
  <r>
    <n v="121"/>
    <n v="70849178"/>
    <x v="11"/>
    <x v="120"/>
    <x v="118"/>
    <s v="PURELAR011"/>
    <x v="119"/>
    <x v="39"/>
    <x v="14"/>
    <x v="0"/>
  </r>
  <r>
    <n v="122"/>
    <n v="70849180"/>
    <x v="11"/>
    <x v="121"/>
    <x v="119"/>
    <s v="PURELAR012"/>
    <x v="120"/>
    <x v="39"/>
    <x v="14"/>
    <x v="0"/>
  </r>
  <r>
    <n v="123"/>
    <n v="70849176"/>
    <x v="11"/>
    <x v="122"/>
    <x v="120"/>
    <s v="PURELAR013"/>
    <x v="121"/>
    <x v="39"/>
    <x v="14"/>
    <x v="0"/>
  </r>
  <r>
    <n v="124"/>
    <n v="70849177"/>
    <x v="11"/>
    <x v="123"/>
    <x v="121"/>
    <s v="PURELAR014"/>
    <x v="122"/>
    <x v="39"/>
    <x v="14"/>
    <x v="0"/>
  </r>
  <r>
    <n v="125"/>
    <n v="70846753"/>
    <x v="12"/>
    <x v="124"/>
    <x v="122"/>
    <s v="PURESA029"/>
    <x v="123"/>
    <x v="87"/>
    <x v="15"/>
    <x v="0"/>
  </r>
  <r>
    <n v="126"/>
    <n v="70849963"/>
    <x v="12"/>
    <x v="125"/>
    <x v="123"/>
    <s v="PURESA032"/>
    <x v="124"/>
    <x v="88"/>
    <x v="15"/>
    <x v="0"/>
  </r>
  <r>
    <n v="127"/>
    <n v="70849964"/>
    <x v="12"/>
    <x v="126"/>
    <x v="124"/>
    <s v="PURESA033"/>
    <x v="125"/>
    <x v="89"/>
    <x v="15"/>
    <x v="0"/>
  </r>
  <r>
    <n v="128"/>
    <n v="70849965"/>
    <x v="12"/>
    <x v="127"/>
    <x v="125"/>
    <s v="PURESA034"/>
    <x v="126"/>
    <x v="90"/>
    <x v="15"/>
    <x v="0"/>
  </r>
  <r>
    <n v="129"/>
    <n v="70849966"/>
    <x v="12"/>
    <x v="128"/>
    <x v="126"/>
    <s v="PURESA035"/>
    <x v="127"/>
    <x v="91"/>
    <x v="15"/>
    <x v="0"/>
  </r>
  <r>
    <n v="130"/>
    <n v="70849967"/>
    <x v="12"/>
    <x v="129"/>
    <x v="127"/>
    <s v="PURESA036"/>
    <x v="128"/>
    <x v="92"/>
    <x v="15"/>
    <x v="0"/>
  </r>
  <r>
    <n v="131"/>
    <n v="70849968"/>
    <x v="12"/>
    <x v="130"/>
    <x v="128"/>
    <s v="PURESA037"/>
    <x v="129"/>
    <x v="93"/>
    <x v="15"/>
    <x v="0"/>
  </r>
  <r>
    <n v="132"/>
    <n v="70849962"/>
    <x v="12"/>
    <x v="131"/>
    <x v="129"/>
    <s v="PURESA038"/>
    <x v="130"/>
    <x v="94"/>
    <x v="15"/>
    <x v="0"/>
  </r>
  <r>
    <n v="133"/>
    <n v="70850610"/>
    <x v="12"/>
    <x v="132"/>
    <x v="130"/>
    <s v="PURESA039"/>
    <x v="131"/>
    <x v="95"/>
    <x v="15"/>
    <x v="0"/>
  </r>
  <r>
    <n v="134"/>
    <n v="70850611"/>
    <x v="12"/>
    <x v="133"/>
    <x v="131"/>
    <s v="PURESA040"/>
    <x v="132"/>
    <x v="96"/>
    <x v="15"/>
    <x v="0"/>
  </r>
  <r>
    <n v="135"/>
    <n v="70818100"/>
    <x v="12"/>
    <x v="134"/>
    <x v="132"/>
    <s v="PURESA001"/>
    <x v="133"/>
    <x v="97"/>
    <x v="16"/>
    <x v="0"/>
  </r>
  <r>
    <n v="136"/>
    <n v="70818116"/>
    <x v="12"/>
    <x v="135"/>
    <x v="133"/>
    <s v="PURESA002"/>
    <x v="134"/>
    <x v="98"/>
    <x v="16"/>
    <x v="0"/>
  </r>
  <r>
    <n v="137"/>
    <n v="70818113"/>
    <x v="12"/>
    <x v="136"/>
    <x v="134"/>
    <s v="PURESA003"/>
    <x v="135"/>
    <x v="99"/>
    <x v="16"/>
    <x v="1"/>
  </r>
  <r>
    <n v="138"/>
    <n v="70818156"/>
    <x v="12"/>
    <x v="137"/>
    <x v="135"/>
    <s v="PURESA004"/>
    <x v="136"/>
    <x v="100"/>
    <x v="16"/>
    <x v="0"/>
  </r>
  <r>
    <n v="139"/>
    <n v="70818101"/>
    <x v="12"/>
    <x v="138"/>
    <x v="136"/>
    <s v="PURESA005"/>
    <x v="137"/>
    <x v="101"/>
    <x v="16"/>
    <x v="0"/>
  </r>
  <r>
    <n v="140"/>
    <n v="70818089"/>
    <x v="12"/>
    <x v="139"/>
    <x v="137"/>
    <s v="PURESA006"/>
    <x v="138"/>
    <x v="102"/>
    <x v="16"/>
    <x v="0"/>
  </r>
  <r>
    <n v="141"/>
    <n v="70818110"/>
    <x v="12"/>
    <x v="140"/>
    <x v="138"/>
    <s v="PURESA007"/>
    <x v="139"/>
    <x v="103"/>
    <x v="16"/>
    <x v="0"/>
  </r>
  <r>
    <n v="142"/>
    <n v="70818099"/>
    <x v="12"/>
    <x v="141"/>
    <x v="139"/>
    <s v="PURESA008"/>
    <x v="140"/>
    <x v="104"/>
    <x v="16"/>
    <x v="0"/>
  </r>
  <r>
    <n v="143"/>
    <n v="70818097"/>
    <x v="12"/>
    <x v="142"/>
    <x v="140"/>
    <s v="PURESA009"/>
    <x v="141"/>
    <x v="105"/>
    <x v="16"/>
    <x v="0"/>
  </r>
  <r>
    <n v="144"/>
    <n v="70818093"/>
    <x v="12"/>
    <x v="143"/>
    <x v="141"/>
    <s v="PURESA010"/>
    <x v="142"/>
    <x v="106"/>
    <x v="16"/>
    <x v="0"/>
  </r>
  <r>
    <n v="145"/>
    <n v="70818109"/>
    <x v="12"/>
    <x v="144"/>
    <x v="142"/>
    <s v="PURESA011"/>
    <x v="143"/>
    <x v="107"/>
    <x v="16"/>
    <x v="0"/>
  </r>
  <r>
    <n v="146"/>
    <n v="70846754"/>
    <x v="12"/>
    <x v="145"/>
    <x v="143"/>
    <s v="PURESA030"/>
    <x v="144"/>
    <x v="107"/>
    <x v="16"/>
    <x v="0"/>
  </r>
  <r>
    <n v="147"/>
    <n v="70847599"/>
    <x v="12"/>
    <x v="146"/>
    <x v="144"/>
    <s v="PURESA031"/>
    <x v="145"/>
    <x v="107"/>
    <x v="16"/>
    <x v="0"/>
  </r>
  <r>
    <n v="148"/>
    <n v="70818699"/>
    <x v="13"/>
    <x v="147"/>
    <x v="145"/>
    <s v="PUREOK002"/>
    <x v="146"/>
    <x v="39"/>
    <x v="17"/>
    <x v="1"/>
  </r>
  <r>
    <n v="149"/>
    <n v="70833115"/>
    <x v="13"/>
    <x v="148"/>
    <x v="146"/>
    <s v="PUREOK013"/>
    <x v="147"/>
    <x v="39"/>
    <x v="17"/>
    <x v="1"/>
  </r>
  <r>
    <n v="150"/>
    <n v="70818695"/>
    <x v="13"/>
    <x v="149"/>
    <x v="147"/>
    <s v="PUREOK001"/>
    <x v="148"/>
    <x v="108"/>
    <x v="18"/>
    <x v="0"/>
  </r>
  <r>
    <n v="151"/>
    <n v="70818702"/>
    <x v="13"/>
    <x v="150"/>
    <x v="148"/>
    <s v="PUREOK004"/>
    <x v="149"/>
    <x v="109"/>
    <x v="18"/>
    <x v="0"/>
  </r>
  <r>
    <n v="152"/>
    <n v="70818696"/>
    <x v="13"/>
    <x v="151"/>
    <x v="149"/>
    <s v="PUREOK005"/>
    <x v="150"/>
    <x v="110"/>
    <x v="18"/>
    <x v="0"/>
  </r>
  <r>
    <n v="153"/>
    <n v="70818697"/>
    <x v="13"/>
    <x v="152"/>
    <x v="150"/>
    <s v="PUREOK006"/>
    <x v="151"/>
    <x v="111"/>
    <x v="18"/>
    <x v="1"/>
  </r>
  <r>
    <n v="154"/>
    <n v="70818694"/>
    <x v="13"/>
    <x v="153"/>
    <x v="151"/>
    <s v="PUREOK007"/>
    <x v="152"/>
    <x v="39"/>
    <x v="18"/>
    <x v="0"/>
  </r>
  <r>
    <n v="155"/>
    <n v="70818700"/>
    <x v="13"/>
    <x v="154"/>
    <x v="152"/>
    <s v="PUREOK008"/>
    <x v="153"/>
    <x v="112"/>
    <x v="18"/>
    <x v="0"/>
  </r>
  <r>
    <n v="156"/>
    <n v="70818703"/>
    <x v="13"/>
    <x v="155"/>
    <x v="153"/>
    <s v="PUREOK009"/>
    <x v="154"/>
    <x v="39"/>
    <x v="18"/>
    <x v="0"/>
  </r>
  <r>
    <n v="157"/>
    <n v="70818701"/>
    <x v="13"/>
    <x v="156"/>
    <x v="154"/>
    <s v="PUREOK010"/>
    <x v="155"/>
    <x v="113"/>
    <x v="18"/>
    <x v="0"/>
  </r>
  <r>
    <n v="158"/>
    <n v="70833117"/>
    <x v="13"/>
    <x v="157"/>
    <x v="155"/>
    <s v="PUREOK011"/>
    <x v="156"/>
    <x v="114"/>
    <x v="18"/>
    <x v="0"/>
  </r>
  <r>
    <n v="159"/>
    <n v="70833116"/>
    <x v="13"/>
    <x v="158"/>
    <x v="156"/>
    <s v="PUREOK012"/>
    <x v="157"/>
    <x v="39"/>
    <x v="18"/>
    <x v="0"/>
  </r>
  <r>
    <n v="160"/>
    <n v="70833114"/>
    <x v="13"/>
    <x v="159"/>
    <x v="157"/>
    <s v="PUREOK014"/>
    <x v="158"/>
    <x v="39"/>
    <x v="18"/>
    <x v="0"/>
  </r>
  <r>
    <n v="161"/>
    <n v="70850829"/>
    <x v="13"/>
    <x v="160"/>
    <x v="158"/>
    <s v="PUREOK015"/>
    <x v="159"/>
    <x v="115"/>
    <x v="18"/>
    <x v="0"/>
  </r>
  <r>
    <n v="162"/>
    <n v="70850830"/>
    <x v="13"/>
    <x v="161"/>
    <x v="159"/>
    <s v="PUREOK016"/>
    <x v="160"/>
    <x v="39"/>
    <x v="18"/>
    <x v="0"/>
  </r>
  <r>
    <n v="163"/>
    <n v="70850831"/>
    <x v="13"/>
    <x v="162"/>
    <x v="160"/>
    <s v="PUREOK017"/>
    <x v="161"/>
    <x v="39"/>
    <x v="18"/>
    <x v="0"/>
  </r>
  <r>
    <n v="164"/>
    <n v="70818118"/>
    <x v="14"/>
    <x v="163"/>
    <x v="161"/>
    <s v="PUREWAC002"/>
    <x v="162"/>
    <x v="116"/>
    <x v="19"/>
    <x v="0"/>
  </r>
  <r>
    <n v="165"/>
    <n v="70818119"/>
    <x v="14"/>
    <x v="164"/>
    <x v="162"/>
    <s v="PUREWAC003"/>
    <x v="163"/>
    <x v="117"/>
    <x v="19"/>
    <x v="0"/>
  </r>
  <r>
    <n v="166"/>
    <n v="70818122"/>
    <x v="14"/>
    <x v="165"/>
    <x v="163"/>
    <s v="PUREWAC007"/>
    <x v="164"/>
    <x v="118"/>
    <x v="19"/>
    <x v="0"/>
  </r>
  <r>
    <n v="167"/>
    <n v="70818121"/>
    <x v="14"/>
    <x v="166"/>
    <x v="164"/>
    <s v="PUREWAC008"/>
    <x v="165"/>
    <x v="119"/>
    <x v="19"/>
    <x v="0"/>
  </r>
  <r>
    <n v="168"/>
    <n v="70818124"/>
    <x v="14"/>
    <x v="167"/>
    <x v="165"/>
    <s v="PUREWAC009"/>
    <x v="166"/>
    <x v="120"/>
    <x v="19"/>
    <x v="0"/>
  </r>
  <r>
    <n v="169"/>
    <n v="70818123"/>
    <x v="14"/>
    <x v="168"/>
    <x v="166"/>
    <s v="PUREWAC010"/>
    <x v="167"/>
    <x v="121"/>
    <x v="19"/>
    <x v="0"/>
  </r>
  <r>
    <n v="170"/>
    <n v="70818120"/>
    <x v="14"/>
    <x v="169"/>
    <x v="167"/>
    <s v="PUREWAC006"/>
    <x v="168"/>
    <x v="122"/>
    <x v="19"/>
    <x v="0"/>
  </r>
  <r>
    <n v="171"/>
    <n v="70857972"/>
    <x v="9"/>
    <x v="170"/>
    <x v="168"/>
    <s v="PUREPHX014"/>
    <x v="169"/>
    <x v="30"/>
    <x v="11"/>
    <x v="0"/>
  </r>
  <r>
    <n v="172"/>
    <n v="70857971"/>
    <x v="9"/>
    <x v="171"/>
    <x v="169"/>
    <s v="PUREPHX015"/>
    <x v="170"/>
    <x v="30"/>
    <x v="11"/>
    <x v="0"/>
  </r>
  <r>
    <n v="173"/>
    <n v="70857970"/>
    <x v="9"/>
    <x v="172"/>
    <x v="170"/>
    <s v="PUREPHX016"/>
    <x v="171"/>
    <x v="30"/>
    <x v="11"/>
    <x v="0"/>
  </r>
  <r>
    <n v="174"/>
    <n v="70857969"/>
    <x v="9"/>
    <x v="173"/>
    <x v="171"/>
    <s v="PUREPHX017"/>
    <x v="172"/>
    <x v="30"/>
    <x v="11"/>
    <x v="0"/>
  </r>
  <r>
    <m/>
    <m/>
    <x v="15"/>
    <x v="174"/>
    <x v="172"/>
    <m/>
    <x v="173"/>
    <x v="30"/>
    <x v="20"/>
    <x v="3"/>
  </r>
  <r>
    <m/>
    <m/>
    <x v="15"/>
    <x v="174"/>
    <x v="172"/>
    <m/>
    <x v="173"/>
    <x v="30"/>
    <x v="20"/>
    <x v="3"/>
  </r>
  <r>
    <m/>
    <m/>
    <x v="15"/>
    <x v="174"/>
    <x v="172"/>
    <m/>
    <x v="173"/>
    <x v="30"/>
    <x v="20"/>
    <x v="3"/>
  </r>
  <r>
    <m/>
    <m/>
    <x v="15"/>
    <x v="174"/>
    <x v="172"/>
    <m/>
    <x v="173"/>
    <x v="30"/>
    <x v="20"/>
    <x v="3"/>
  </r>
  <r>
    <m/>
    <m/>
    <x v="15"/>
    <x v="174"/>
    <x v="172"/>
    <m/>
    <x v="173"/>
    <x v="30"/>
    <x v="20"/>
    <x v="3"/>
  </r>
  <r>
    <m/>
    <m/>
    <x v="15"/>
    <x v="174"/>
    <x v="172"/>
    <m/>
    <x v="173"/>
    <x v="30"/>
    <x v="20"/>
    <x v="3"/>
  </r>
  <r>
    <m/>
    <m/>
    <x v="15"/>
    <x v="174"/>
    <x v="172"/>
    <m/>
    <x v="173"/>
    <x v="30"/>
    <x v="20"/>
    <x v="3"/>
  </r>
  <r>
    <m/>
    <m/>
    <x v="15"/>
    <x v="174"/>
    <x v="172"/>
    <m/>
    <x v="173"/>
    <x v="30"/>
    <x v="20"/>
    <x v="3"/>
  </r>
  <r>
    <m/>
    <m/>
    <x v="15"/>
    <x v="174"/>
    <x v="172"/>
    <m/>
    <x v="173"/>
    <x v="30"/>
    <x v="20"/>
    <x v="3"/>
  </r>
  <r>
    <m/>
    <m/>
    <x v="15"/>
    <x v="174"/>
    <x v="172"/>
    <m/>
    <x v="173"/>
    <x v="30"/>
    <x v="2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9" firstHeaderRow="1" firstDataRow="1" firstDataCol="1" rowPageCount="1" colPageCount="1"/>
  <pivotFields count="10">
    <pivotField showAll="0"/>
    <pivotField showAll="0"/>
    <pivotField axis="axisRow" dataField="1"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axis="axisPage" showAll="0">
      <items count="5">
        <item x="0"/>
        <item x="1"/>
        <item x="2"/>
        <item x="3"/>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pageFields count="1">
    <pageField fld="9" item="0" hier="-1"/>
  </pageFields>
  <dataFields count="1">
    <dataField name="Count of Marke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E179" firstHeaderRow="1" firstDataRow="1" firstDataCol="4"/>
  <pivotFields count="1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175">
        <item x="0"/>
        <item x="1"/>
        <item x="2"/>
        <item x="3"/>
        <item x="4"/>
        <item x="5"/>
        <item x="6"/>
        <item x="7"/>
        <item x="8"/>
        <item x="47"/>
        <item x="58"/>
        <item x="48"/>
        <item x="32"/>
        <item x="33"/>
        <item x="59"/>
        <item x="60"/>
        <item x="61"/>
        <item x="34"/>
        <item x="49"/>
        <item x="35"/>
        <item x="21"/>
        <item x="31"/>
        <item x="62"/>
        <item x="36"/>
        <item x="37"/>
        <item x="50"/>
        <item x="38"/>
        <item x="63"/>
        <item x="54"/>
        <item x="39"/>
        <item x="64"/>
        <item x="22"/>
        <item x="55"/>
        <item x="23"/>
        <item x="40"/>
        <item x="41"/>
        <item x="42"/>
        <item x="56"/>
        <item x="57"/>
        <item x="72"/>
        <item x="73"/>
        <item x="74"/>
        <item x="80"/>
        <item x="75"/>
        <item x="76"/>
        <item x="77"/>
        <item x="81"/>
        <item x="82"/>
        <item x="65"/>
        <item x="66"/>
        <item x="67"/>
        <item x="68"/>
        <item x="69"/>
        <item x="24"/>
        <item x="25"/>
        <item x="26"/>
        <item x="27"/>
        <item x="51"/>
        <item x="117"/>
        <item x="83"/>
        <item x="84"/>
        <item x="85"/>
        <item x="86"/>
        <item x="149"/>
        <item x="147"/>
        <item x="150"/>
        <item x="151"/>
        <item x="152"/>
        <item x="153"/>
        <item x="154"/>
        <item x="155"/>
        <item x="156"/>
        <item x="157"/>
        <item x="158"/>
        <item x="148"/>
        <item x="159"/>
        <item x="9"/>
        <item x="10"/>
        <item x="11"/>
        <item x="12"/>
        <item x="13"/>
        <item x="14"/>
        <item x="15"/>
        <item x="16"/>
        <item x="98"/>
        <item x="99"/>
        <item x="107"/>
        <item x="100"/>
        <item x="108"/>
        <item x="109"/>
        <item x="110"/>
        <item x="101"/>
        <item x="102"/>
        <item x="90"/>
        <item x="111"/>
        <item x="103"/>
        <item x="91"/>
        <item x="104"/>
        <item x="112"/>
        <item x="92"/>
        <item x="93"/>
        <item x="94"/>
        <item x="105"/>
        <item x="113"/>
        <item x="106"/>
        <item x="95"/>
        <item x="114"/>
        <item x="115"/>
        <item x="96"/>
        <item x="97"/>
        <item x="134"/>
        <item x="135"/>
        <item x="136"/>
        <item x="137"/>
        <item x="138"/>
        <item x="139"/>
        <item x="140"/>
        <item x="141"/>
        <item x="142"/>
        <item x="143"/>
        <item x="144"/>
        <item x="163"/>
        <item x="164"/>
        <item x="169"/>
        <item x="165"/>
        <item x="166"/>
        <item x="167"/>
        <item x="168"/>
        <item x="174"/>
        <item x="46"/>
        <item x="28"/>
        <item x="29"/>
        <item x="43"/>
        <item x="44"/>
        <item x="45"/>
        <item x="116"/>
        <item x="118"/>
        <item x="119"/>
        <item x="120"/>
        <item x="121"/>
        <item x="122"/>
        <item x="123"/>
        <item x="124"/>
        <item x="145"/>
        <item x="146"/>
        <item x="125"/>
        <item x="126"/>
        <item x="127"/>
        <item x="128"/>
        <item x="129"/>
        <item x="130"/>
        <item x="131"/>
        <item x="132"/>
        <item x="133"/>
        <item x="160"/>
        <item x="161"/>
        <item x="162"/>
        <item x="17"/>
        <item x="18"/>
        <item x="19"/>
        <item x="20"/>
        <item x="30"/>
        <item x="52"/>
        <item x="53"/>
        <item x="70"/>
        <item x="71"/>
        <item x="78"/>
        <item x="79"/>
        <item x="87"/>
        <item x="88"/>
        <item x="89"/>
        <item x="170"/>
        <item x="171"/>
        <item x="172"/>
        <item x="173"/>
      </items>
    </pivotField>
    <pivotField axis="axisRow" compact="0" outline="0" subtotalTop="0" showAll="0" defaultSubtotal="0">
      <items count="174">
        <item x="95"/>
        <item x="42"/>
        <item x="147"/>
        <item x="67"/>
        <item x="73"/>
        <item x="49"/>
        <item x="162"/>
        <item x="66"/>
        <item x="59"/>
        <item x="40"/>
        <item x="8"/>
        <item x="58"/>
        <item x="57"/>
        <item x="50"/>
        <item x="22"/>
        <item x="48"/>
        <item x="0"/>
        <item x="96"/>
        <item x="46"/>
        <item x="24"/>
        <item x="132"/>
        <item x="145"/>
        <item x="56"/>
        <item x="1"/>
        <item x="36"/>
        <item x="12"/>
        <item x="41"/>
        <item x="133"/>
        <item x="37"/>
        <item x="10"/>
        <item x="21"/>
        <item x="134"/>
        <item x="55"/>
        <item x="16"/>
        <item x="135"/>
        <item x="136"/>
        <item x="25"/>
        <item x="97"/>
        <item x="104"/>
        <item x="91"/>
        <item x="103"/>
        <item x="155"/>
        <item x="156"/>
        <item x="105"/>
        <item x="92"/>
        <item x="137"/>
        <item x="33"/>
        <item x="27"/>
        <item x="148"/>
        <item x="75"/>
        <item x="35"/>
        <item x="39"/>
        <item x="72"/>
        <item x="138"/>
        <item x="98"/>
        <item x="139"/>
        <item x="2"/>
        <item x="54"/>
        <item x="167"/>
        <item x="65"/>
        <item x="100"/>
        <item x="163"/>
        <item x="3"/>
        <item x="32"/>
        <item x="11"/>
        <item x="26"/>
        <item x="88"/>
        <item x="79"/>
        <item x="149"/>
        <item x="82"/>
        <item x="81"/>
        <item x="47"/>
        <item x="109"/>
        <item x="15"/>
        <item x="106"/>
        <item x="71"/>
        <item x="101"/>
        <item x="14"/>
        <item x="112"/>
        <item x="94"/>
        <item x="164"/>
        <item x="84"/>
        <item x="83"/>
        <item x="70"/>
        <item x="64"/>
        <item x="89"/>
        <item x="140"/>
        <item x="63"/>
        <item x="90"/>
        <item x="150"/>
        <item x="165"/>
        <item x="154"/>
        <item x="4"/>
        <item x="141"/>
        <item x="74"/>
        <item x="107"/>
        <item x="34"/>
        <item x="157"/>
        <item x="166"/>
        <item x="146"/>
        <item x="115"/>
        <item x="108"/>
        <item x="151"/>
        <item x="53"/>
        <item x="152"/>
        <item x="9"/>
        <item x="62"/>
        <item x="23"/>
        <item x="5"/>
        <item x="78"/>
        <item x="80"/>
        <item x="61"/>
        <item x="153"/>
        <item x="102"/>
        <item x="60"/>
        <item x="93"/>
        <item x="111"/>
        <item x="110"/>
        <item x="161"/>
        <item x="31"/>
        <item x="13"/>
        <item x="6"/>
        <item x="99"/>
        <item x="113"/>
        <item x="142"/>
        <item x="38"/>
        <item x="7"/>
        <item x="172"/>
        <item x="45"/>
        <item x="28"/>
        <item x="29"/>
        <item x="43"/>
        <item x="44"/>
        <item m="1" x="173"/>
        <item x="116"/>
        <item x="117"/>
        <item x="118"/>
        <item x="119"/>
        <item x="120"/>
        <item x="121"/>
        <item x="122"/>
        <item x="143"/>
        <item x="144"/>
        <item x="123"/>
        <item x="124"/>
        <item x="125"/>
        <item x="126"/>
        <item x="127"/>
        <item x="128"/>
        <item x="129"/>
        <item x="130"/>
        <item x="131"/>
        <item x="158"/>
        <item x="159"/>
        <item x="160"/>
        <item x="17"/>
        <item x="18"/>
        <item x="19"/>
        <item x="20"/>
        <item x="114"/>
        <item x="30"/>
        <item x="51"/>
        <item x="52"/>
        <item x="68"/>
        <item x="69"/>
        <item x="76"/>
        <item x="77"/>
        <item x="85"/>
        <item x="86"/>
        <item x="87"/>
        <item x="168"/>
        <item x="169"/>
        <item x="170"/>
        <item x="171"/>
      </items>
    </pivotField>
    <pivotField compact="0" outline="0" showAll="0" defaultSubtotal="0"/>
    <pivotField axis="axisRow" compact="0" outline="0" subtotalTop="0" showAll="0" defaultSubtotal="0">
      <items count="177">
        <item x="100"/>
        <item x="142"/>
        <item x="84"/>
        <item x="64"/>
        <item x="38"/>
        <item x="96"/>
        <item x="83"/>
        <item x="55"/>
        <item x="61"/>
        <item x="149"/>
        <item x="42"/>
        <item x="56"/>
        <item x="41"/>
        <item x="80"/>
        <item x="58"/>
        <item x="137"/>
        <item x="112"/>
        <item x="37"/>
        <item x="2"/>
        <item x="151"/>
        <item x="93"/>
        <item x="65"/>
        <item x="148"/>
        <item x="90"/>
        <item x="162"/>
        <item x="10"/>
        <item x="13"/>
        <item x="68"/>
        <item x="0"/>
        <item x="74"/>
        <item x="105"/>
        <item x="92"/>
        <item x="150"/>
        <item x="23"/>
        <item x="165"/>
        <item x="106"/>
        <item x="97"/>
        <item x="76"/>
        <item x="167"/>
        <item x="81"/>
        <item x="94"/>
        <item x="166"/>
        <item x="12"/>
        <item x="31"/>
        <item x="114"/>
        <item x="108"/>
        <item x="63"/>
        <item x="155"/>
        <item x="98"/>
        <item x="156"/>
        <item x="3"/>
        <item x="85"/>
        <item x="72"/>
        <item x="146"/>
        <item x="27"/>
        <item x="95"/>
        <item x="1"/>
        <item x="14"/>
        <item x="62"/>
        <item x="82"/>
        <item x="75"/>
        <item x="143"/>
        <item x="54"/>
        <item x="32"/>
        <item x="49"/>
        <item x="4"/>
        <item x="163"/>
        <item x="168"/>
        <item x="110"/>
        <item x="71"/>
        <item x="102"/>
        <item x="107"/>
        <item x="67"/>
        <item m="1" x="174"/>
        <item x="11"/>
        <item x="6"/>
        <item x="73"/>
        <item x="147"/>
        <item x="99"/>
        <item x="66"/>
        <item x="25"/>
        <item x="152"/>
        <item x="141"/>
        <item x="139"/>
        <item x="154"/>
        <item x="113"/>
        <item x="104"/>
        <item x="101"/>
        <item x="21"/>
        <item x="26"/>
        <item x="46"/>
        <item x="5"/>
        <item x="33"/>
        <item x="34"/>
        <item x="60"/>
        <item x="134"/>
        <item x="15"/>
        <item x="103"/>
        <item x="116"/>
        <item x="133"/>
        <item x="39"/>
        <item x="40"/>
        <item x="91"/>
        <item x="111"/>
        <item x="158"/>
        <item x="8"/>
        <item x="89"/>
        <item x="47"/>
        <item x="35"/>
        <item x="59"/>
        <item x="140"/>
        <item x="157"/>
        <item x="9"/>
        <item x="57"/>
        <item x="136"/>
        <item x="16"/>
        <item x="36"/>
        <item x="53"/>
        <item x="50"/>
        <item x="79"/>
        <item x="138"/>
        <item x="153"/>
        <item x="24"/>
        <item x="22"/>
        <item x="109"/>
        <item x="164"/>
        <item x="48"/>
        <item x="135"/>
        <item x="173"/>
        <item x="45"/>
        <item x="28"/>
        <item x="29"/>
        <item x="43"/>
        <item x="44"/>
        <item m="1" x="176"/>
        <item x="117"/>
        <item x="118"/>
        <item x="119"/>
        <item x="120"/>
        <item x="121"/>
        <item x="122"/>
        <item m="1" x="175"/>
        <item x="144"/>
        <item x="145"/>
        <item x="124"/>
        <item x="125"/>
        <item x="126"/>
        <item x="127"/>
        <item x="128"/>
        <item x="129"/>
        <item x="130"/>
        <item x="131"/>
        <item x="132"/>
        <item x="159"/>
        <item x="160"/>
        <item x="161"/>
        <item x="17"/>
        <item x="18"/>
        <item x="19"/>
        <item x="20"/>
        <item x="115"/>
        <item x="123"/>
        <item x="30"/>
        <item x="51"/>
        <item x="52"/>
        <item x="69"/>
        <item x="70"/>
        <item x="77"/>
        <item x="78"/>
        <item x="86"/>
        <item x="87"/>
        <item x="88"/>
        <item x="7"/>
        <item x="169"/>
        <item x="170"/>
        <item x="171"/>
        <item x="172"/>
      </items>
    </pivotField>
    <pivotField compact="0" outline="0" subtotalTop="0" showAll="0" defaultSubtotal="0"/>
    <pivotField axis="axisRow" dataField="1" compact="0" outline="0" subtotalTop="0" showAll="0" defaultSubtotal="0">
      <items count="38">
        <item m="1" x="36"/>
        <item m="1" x="21"/>
        <item x="4"/>
        <item x="0"/>
        <item x="3"/>
        <item m="1" x="26"/>
        <item m="1" x="25"/>
        <item m="1" x="35"/>
        <item m="1" x="29"/>
        <item m="1" x="30"/>
        <item m="1" x="31"/>
        <item x="13"/>
        <item x="7"/>
        <item m="1" x="22"/>
        <item x="10"/>
        <item m="1" x="34"/>
        <item m="1" x="37"/>
        <item m="1" x="24"/>
        <item x="20"/>
        <item x="1"/>
        <item x="5"/>
        <item x="9"/>
        <item m="1" x="33"/>
        <item x="16"/>
        <item x="18"/>
        <item m="1" x="23"/>
        <item x="17"/>
        <item m="1" x="28"/>
        <item m="1" x="27"/>
        <item m="1" x="32"/>
        <item x="2"/>
        <item x="8"/>
        <item x="15"/>
        <item x="6"/>
        <item x="19"/>
        <item x="12"/>
        <item x="11"/>
        <item x="14"/>
      </items>
    </pivotField>
    <pivotField compact="0" outline="0" subtotalTop="0" showAll="0" defaultSubtotal="0"/>
  </pivotFields>
  <rowFields count="4">
    <field x="8"/>
    <field x="3"/>
    <field x="4"/>
    <field x="6"/>
  </rowFields>
  <rowItems count="176">
    <i>
      <x v="2"/>
      <x v="12"/>
      <x v="63"/>
      <x v="63"/>
    </i>
    <i r="1">
      <x v="13"/>
      <x v="46"/>
      <x v="92"/>
    </i>
    <i r="1">
      <x v="17"/>
      <x v="96"/>
      <x v="93"/>
    </i>
    <i r="1">
      <x v="19"/>
      <x v="50"/>
      <x v="108"/>
    </i>
    <i r="1">
      <x v="21"/>
      <x v="119"/>
      <x v="43"/>
    </i>
    <i r="1">
      <x v="23"/>
      <x v="24"/>
      <x v="116"/>
    </i>
    <i r="1">
      <x v="24"/>
      <x v="28"/>
      <x v="17"/>
    </i>
    <i r="1">
      <x v="26"/>
      <x v="125"/>
      <x v="4"/>
    </i>
    <i r="1">
      <x v="29"/>
      <x v="51"/>
      <x v="100"/>
    </i>
    <i r="1">
      <x v="34"/>
      <x v="9"/>
      <x v="101"/>
    </i>
    <i r="1">
      <x v="35"/>
      <x v="26"/>
      <x v="12"/>
    </i>
    <i r="1">
      <x v="36"/>
      <x v="1"/>
      <x v="10"/>
    </i>
    <i r="1">
      <x v="132"/>
      <x v="131"/>
      <x v="132"/>
    </i>
    <i r="1">
      <x v="133"/>
      <x v="132"/>
      <x v="133"/>
    </i>
    <i r="1">
      <x v="134"/>
      <x v="125"/>
      <x v="4"/>
    </i>
    <i>
      <x v="3"/>
      <x/>
      <x v="16"/>
      <x v="28"/>
    </i>
    <i r="1">
      <x v="1"/>
      <x v="23"/>
      <x v="56"/>
    </i>
    <i r="1">
      <x v="2"/>
      <x v="56"/>
      <x v="18"/>
    </i>
    <i r="1">
      <x v="3"/>
      <x v="62"/>
      <x v="50"/>
    </i>
    <i r="1">
      <x v="4"/>
      <x v="92"/>
      <x v="65"/>
    </i>
    <i r="1">
      <x v="5"/>
      <x v="108"/>
      <x v="91"/>
    </i>
    <i r="1">
      <x v="6"/>
      <x v="121"/>
      <x v="75"/>
    </i>
    <i r="1">
      <x v="7"/>
      <x v="126"/>
      <x v="172"/>
    </i>
    <i r="1">
      <x v="8"/>
      <x v="10"/>
      <x v="105"/>
    </i>
    <i>
      <x v="4"/>
      <x v="20"/>
      <x v="30"/>
      <x v="88"/>
    </i>
    <i r="1">
      <x v="31"/>
      <x v="14"/>
      <x v="123"/>
    </i>
    <i r="1">
      <x v="33"/>
      <x v="107"/>
      <x v="33"/>
    </i>
    <i r="1">
      <x v="53"/>
      <x v="19"/>
      <x v="122"/>
    </i>
    <i r="1">
      <x v="54"/>
      <x v="36"/>
      <x v="80"/>
    </i>
    <i r="1">
      <x v="55"/>
      <x v="65"/>
      <x v="89"/>
    </i>
    <i r="1">
      <x v="56"/>
      <x v="47"/>
      <x v="54"/>
    </i>
    <i r="1">
      <x v="130"/>
      <x v="129"/>
      <x v="130"/>
    </i>
    <i r="1">
      <x v="131"/>
      <x v="130"/>
      <x v="131"/>
    </i>
    <i r="1">
      <x v="161"/>
      <x v="160"/>
      <x v="162"/>
    </i>
    <i>
      <x v="11"/>
      <x v="58"/>
      <x v="100"/>
      <x v="98"/>
    </i>
    <i>
      <x v="12"/>
      <x v="10"/>
      <x v="12"/>
      <x v="113"/>
    </i>
    <i r="1">
      <x v="14"/>
      <x v="16"/>
      <x v="14"/>
    </i>
    <i r="1">
      <x v="15"/>
      <x v="11"/>
      <x v="109"/>
    </i>
    <i r="1">
      <x v="16"/>
      <x v="8"/>
      <x v="94"/>
    </i>
    <i r="1">
      <x v="22"/>
      <x v="114"/>
      <x v="8"/>
    </i>
    <i r="1">
      <x v="27"/>
      <x v="111"/>
      <x v="58"/>
    </i>
    <i r="1">
      <x v="30"/>
      <x v="106"/>
      <x v="46"/>
    </i>
    <i r="1">
      <x v="48"/>
      <x v="87"/>
      <x v="3"/>
    </i>
    <i r="1">
      <x v="49"/>
      <x v="84"/>
      <x v="21"/>
    </i>
    <i r="1">
      <x v="50"/>
      <x v="59"/>
      <x v="79"/>
    </i>
    <i r="1">
      <x v="51"/>
      <x v="7"/>
      <x v="72"/>
    </i>
    <i r="1">
      <x v="52"/>
      <x v="3"/>
      <x v="27"/>
    </i>
    <i r="1">
      <x v="164"/>
      <x v="163"/>
      <x v="165"/>
    </i>
    <i r="1">
      <x v="165"/>
      <x v="164"/>
      <x v="166"/>
    </i>
    <i>
      <x v="14"/>
      <x v="59"/>
      <x v="70"/>
      <x v="59"/>
    </i>
    <i r="1">
      <x v="60"/>
      <x v="69"/>
      <x v="6"/>
    </i>
    <i r="1">
      <x v="61"/>
      <x v="82"/>
      <x v="2"/>
    </i>
    <i r="1">
      <x v="62"/>
      <x v="81"/>
      <x v="51"/>
    </i>
    <i>
      <x v="18"/>
      <x v="128"/>
      <x v="127"/>
      <x v="128"/>
    </i>
    <i>
      <x v="19"/>
      <x v="76"/>
      <x v="105"/>
      <x v="112"/>
    </i>
    <i r="1">
      <x v="77"/>
      <x v="29"/>
      <x v="25"/>
    </i>
    <i r="1">
      <x v="78"/>
      <x v="64"/>
      <x v="74"/>
    </i>
    <i r="1">
      <x v="79"/>
      <x v="25"/>
      <x v="42"/>
    </i>
    <i r="1">
      <x v="80"/>
      <x v="120"/>
      <x v="26"/>
    </i>
    <i r="1">
      <x v="81"/>
      <x v="77"/>
      <x v="57"/>
    </i>
    <i r="1">
      <x v="82"/>
      <x v="73"/>
      <x v="96"/>
    </i>
    <i r="1">
      <x v="83"/>
      <x v="33"/>
      <x v="115"/>
    </i>
    <i>
      <x v="20"/>
      <x v="9"/>
      <x v="18"/>
      <x v="90"/>
    </i>
    <i r="1">
      <x v="11"/>
      <x v="71"/>
      <x v="107"/>
    </i>
    <i r="1">
      <x v="18"/>
      <x v="15"/>
      <x v="126"/>
    </i>
    <i r="1">
      <x v="25"/>
      <x v="5"/>
      <x v="64"/>
    </i>
    <i r="1">
      <x v="57"/>
      <x v="13"/>
      <x v="118"/>
    </i>
    <i r="1">
      <x v="129"/>
      <x v="128"/>
      <x v="129"/>
    </i>
    <i>
      <x v="21"/>
      <x v="42"/>
      <x v="109"/>
      <x v="119"/>
    </i>
    <i r="1">
      <x v="46"/>
      <x v="67"/>
      <x v="13"/>
    </i>
    <i r="1">
      <x v="47"/>
      <x v="110"/>
      <x v="39"/>
    </i>
    <i>
      <x v="23"/>
      <x v="110"/>
      <x v="20"/>
      <x v="99"/>
    </i>
    <i r="1">
      <x v="111"/>
      <x v="27"/>
      <x v="95"/>
    </i>
    <i r="1">
      <x v="112"/>
      <x v="31"/>
      <x v="127"/>
    </i>
    <i r="1">
      <x v="113"/>
      <x v="34"/>
      <x v="114"/>
    </i>
    <i r="1">
      <x v="114"/>
      <x v="35"/>
      <x v="15"/>
    </i>
    <i r="1">
      <x v="115"/>
      <x v="45"/>
      <x v="120"/>
    </i>
    <i r="1">
      <x v="116"/>
      <x v="53"/>
      <x v="83"/>
    </i>
    <i r="1">
      <x v="117"/>
      <x v="55"/>
      <x v="110"/>
    </i>
    <i r="1">
      <x v="118"/>
      <x v="86"/>
      <x v="82"/>
    </i>
    <i r="1">
      <x v="119"/>
      <x v="93"/>
      <x v="1"/>
    </i>
    <i r="1">
      <x v="120"/>
      <x v="124"/>
      <x v="61"/>
    </i>
    <i r="1">
      <x v="143"/>
      <x v="141"/>
      <x v="142"/>
    </i>
    <i r="1">
      <x v="144"/>
      <x v="142"/>
      <x v="143"/>
    </i>
    <i>
      <x v="24"/>
      <x v="63"/>
      <x v="2"/>
      <x v="22"/>
    </i>
    <i r="1">
      <x v="65"/>
      <x v="48"/>
      <x v="9"/>
    </i>
    <i r="1">
      <x v="66"/>
      <x v="68"/>
      <x v="32"/>
    </i>
    <i r="1">
      <x v="67"/>
      <x v="89"/>
      <x v="19"/>
    </i>
    <i r="1">
      <x v="68"/>
      <x v="102"/>
      <x v="81"/>
    </i>
    <i r="1">
      <x v="69"/>
      <x v="104"/>
      <x v="121"/>
    </i>
    <i r="1">
      <x v="70"/>
      <x v="112"/>
      <x v="84"/>
    </i>
    <i r="1">
      <x v="71"/>
      <x v="91"/>
      <x v="47"/>
    </i>
    <i r="1">
      <x v="72"/>
      <x v="41"/>
      <x v="49"/>
    </i>
    <i r="1">
      <x v="73"/>
      <x v="42"/>
      <x v="111"/>
    </i>
    <i r="1">
      <x v="75"/>
      <x v="97"/>
      <x v="104"/>
    </i>
    <i r="1">
      <x v="154"/>
      <x v="152"/>
      <x v="153"/>
    </i>
    <i r="1">
      <x v="155"/>
      <x v="153"/>
      <x v="154"/>
    </i>
    <i r="1">
      <x v="156"/>
      <x v="154"/>
      <x v="155"/>
    </i>
    <i>
      <x v="26"/>
      <x v="64"/>
      <x v="21"/>
      <x v="53"/>
    </i>
    <i r="1">
      <x v="74"/>
      <x v="99"/>
      <x v="77"/>
    </i>
    <i>
      <x v="30"/>
      <x v="157"/>
      <x v="155"/>
      <x v="156"/>
    </i>
    <i r="1">
      <x v="158"/>
      <x v="156"/>
      <x v="157"/>
    </i>
    <i r="1">
      <x v="159"/>
      <x v="157"/>
      <x v="158"/>
    </i>
    <i r="1">
      <x v="160"/>
      <x v="158"/>
      <x v="159"/>
    </i>
    <i>
      <x v="31"/>
      <x v="39"/>
      <x v="83"/>
      <x v="69"/>
    </i>
    <i r="1">
      <x v="40"/>
      <x v="75"/>
      <x v="52"/>
    </i>
    <i r="1">
      <x v="41"/>
      <x v="52"/>
      <x v="76"/>
    </i>
    <i r="1">
      <x v="43"/>
      <x v="4"/>
      <x v="29"/>
    </i>
    <i r="1">
      <x v="44"/>
      <x v="94"/>
      <x v="60"/>
    </i>
    <i r="1">
      <x v="45"/>
      <x v="49"/>
      <x v="37"/>
    </i>
    <i r="1">
      <x v="166"/>
      <x v="165"/>
      <x v="167"/>
    </i>
    <i r="1">
      <x v="167"/>
      <x v="166"/>
      <x v="168"/>
    </i>
    <i>
      <x v="32"/>
      <x v="142"/>
      <x v="140"/>
      <x v="161"/>
    </i>
    <i r="1">
      <x v="145"/>
      <x v="143"/>
      <x v="144"/>
    </i>
    <i r="1">
      <x v="146"/>
      <x v="144"/>
      <x v="145"/>
    </i>
    <i r="1">
      <x v="147"/>
      <x v="145"/>
      <x v="146"/>
    </i>
    <i r="1">
      <x v="148"/>
      <x v="146"/>
      <x v="147"/>
    </i>
    <i r="1">
      <x v="149"/>
      <x v="147"/>
      <x v="148"/>
    </i>
    <i r="1">
      <x v="150"/>
      <x v="148"/>
      <x v="149"/>
    </i>
    <i r="1">
      <x v="151"/>
      <x v="149"/>
      <x v="150"/>
    </i>
    <i r="1">
      <x v="152"/>
      <x v="150"/>
      <x v="151"/>
    </i>
    <i r="1">
      <x v="153"/>
      <x v="151"/>
      <x v="152"/>
    </i>
    <i>
      <x v="33"/>
      <x v="28"/>
      <x v="103"/>
      <x v="117"/>
    </i>
    <i r="1">
      <x v="32"/>
      <x v="57"/>
      <x v="62"/>
    </i>
    <i r="1">
      <x v="37"/>
      <x v="32"/>
      <x v="7"/>
    </i>
    <i r="1">
      <x v="38"/>
      <x v="22"/>
      <x v="11"/>
    </i>
    <i r="1">
      <x v="162"/>
      <x v="161"/>
      <x v="163"/>
    </i>
    <i r="1">
      <x v="163"/>
      <x v="162"/>
      <x v="164"/>
    </i>
    <i>
      <x v="34"/>
      <x v="121"/>
      <x v="118"/>
      <x v="24"/>
    </i>
    <i r="1">
      <x v="122"/>
      <x v="6"/>
      <x v="66"/>
    </i>
    <i r="1">
      <x v="123"/>
      <x v="58"/>
      <x v="67"/>
    </i>
    <i r="1">
      <x v="124"/>
      <x v="61"/>
      <x v="125"/>
    </i>
    <i r="1">
      <x v="125"/>
      <x v="80"/>
      <x v="34"/>
    </i>
    <i r="1">
      <x v="126"/>
      <x v="90"/>
      <x v="41"/>
    </i>
    <i r="1">
      <x v="127"/>
      <x v="98"/>
      <x v="38"/>
    </i>
    <i>
      <x v="35"/>
      <x v="84"/>
      <x v="17"/>
      <x v="36"/>
    </i>
    <i r="1">
      <x v="85"/>
      <x v="37"/>
      <x v="48"/>
    </i>
    <i r="1">
      <x v="86"/>
      <x v="43"/>
      <x v="35"/>
    </i>
    <i r="1">
      <x v="87"/>
      <x v="54"/>
      <x v="78"/>
    </i>
    <i r="1">
      <x v="88"/>
      <x v="74"/>
      <x v="71"/>
    </i>
    <i r="1">
      <x v="89"/>
      <x v="95"/>
      <x v="45"/>
    </i>
    <i r="1">
      <x v="90"/>
      <x v="101"/>
      <x v="124"/>
    </i>
    <i r="1">
      <x v="91"/>
      <x v="122"/>
      <x/>
    </i>
    <i r="1">
      <x v="92"/>
      <x v="60"/>
      <x v="87"/>
    </i>
    <i r="1">
      <x v="93"/>
      <x v="66"/>
      <x v="106"/>
    </i>
    <i r="1">
      <x v="94"/>
      <x v="72"/>
      <x v="68"/>
    </i>
    <i r="1">
      <x v="95"/>
      <x v="76"/>
      <x v="70"/>
    </i>
    <i r="1">
      <x v="96"/>
      <x v="85"/>
      <x v="23"/>
    </i>
    <i r="1">
      <x v="97"/>
      <x v="113"/>
      <x v="97"/>
    </i>
    <i r="1">
      <x v="98"/>
      <x v="117"/>
      <x v="103"/>
    </i>
    <i r="1">
      <x v="99"/>
      <x v="88"/>
      <x v="102"/>
    </i>
    <i r="1">
      <x v="100"/>
      <x v="39"/>
      <x v="31"/>
    </i>
    <i r="1">
      <x v="101"/>
      <x v="44"/>
      <x v="20"/>
    </i>
    <i r="1">
      <x v="102"/>
      <x v="40"/>
      <x v="86"/>
    </i>
    <i r="1">
      <x v="103"/>
      <x v="116"/>
      <x v="16"/>
    </i>
    <i r="1">
      <x v="104"/>
      <x v="38"/>
      <x v="30"/>
    </i>
    <i r="1">
      <x v="105"/>
      <x v="115"/>
      <x v="40"/>
    </i>
    <i r="1">
      <x v="106"/>
      <x v="78"/>
      <x v="85"/>
    </i>
    <i r="1">
      <x v="107"/>
      <x v="123"/>
      <x v="44"/>
    </i>
    <i r="1">
      <x v="108"/>
      <x v="79"/>
      <x v="55"/>
    </i>
    <i r="1">
      <x v="109"/>
      <x/>
      <x v="5"/>
    </i>
    <i r="1">
      <x v="135"/>
      <x v="159"/>
      <x v="160"/>
    </i>
    <i>
      <x v="36"/>
      <x v="168"/>
      <x v="167"/>
      <x v="169"/>
    </i>
    <i r="1">
      <x v="169"/>
      <x v="168"/>
      <x v="170"/>
    </i>
    <i r="1">
      <x v="170"/>
      <x v="169"/>
      <x v="171"/>
    </i>
    <i r="1">
      <x v="171"/>
      <x v="170"/>
      <x v="173"/>
    </i>
    <i r="1">
      <x v="172"/>
      <x v="171"/>
      <x v="174"/>
    </i>
    <i r="1">
      <x v="173"/>
      <x v="172"/>
      <x v="175"/>
    </i>
    <i r="1">
      <x v="174"/>
      <x v="173"/>
      <x v="176"/>
    </i>
    <i>
      <x v="37"/>
      <x v="136"/>
      <x v="134"/>
      <x v="135"/>
    </i>
    <i r="1">
      <x v="137"/>
      <x v="135"/>
      <x v="136"/>
    </i>
    <i r="1">
      <x v="138"/>
      <x v="136"/>
      <x v="137"/>
    </i>
    <i r="1">
      <x v="139"/>
      <x v="137"/>
      <x v="138"/>
    </i>
    <i r="1">
      <x v="140"/>
      <x v="138"/>
      <x v="139"/>
    </i>
    <i r="1">
      <x v="141"/>
      <x v="139"/>
      <x v="140"/>
    </i>
    <i t="grand">
      <x/>
    </i>
  </rowItems>
  <colItems count="1">
    <i/>
  </colItems>
  <dataFields count="1">
    <dataField name="Count of DM'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E16" firstHeaderRow="1" firstDataRow="1" firstDataCol="5"/>
  <pivotFields count="10">
    <pivotField compact="0" outline="0" showAll="0" defaultSubtotal="0"/>
    <pivotField compact="0" outline="0" showAll="0" defaultSubtotal="0"/>
    <pivotField axis="axisRow" compact="0" outline="0" showAll="0" defaultSubtotal="0">
      <items count="16">
        <item x="0"/>
        <item x="1"/>
        <item x="2"/>
        <item x="3"/>
        <item x="4"/>
        <item x="5"/>
        <item x="6"/>
        <item x="7"/>
        <item x="8"/>
        <item x="10"/>
        <item x="12"/>
        <item x="13"/>
        <item x="14"/>
        <item x="11"/>
        <item x="9"/>
        <item x="15"/>
      </items>
    </pivotField>
    <pivotField compact="0" outline="0" showAll="0" defaultSubtotal="0"/>
    <pivotField axis="axisRow" compact="0" outline="0" showAll="0" defaultSubtotal="0">
      <items count="174">
        <item x="45"/>
        <item x="158"/>
        <item x="95"/>
        <item x="42"/>
        <item x="147"/>
        <item x="128"/>
        <item x="67"/>
        <item x="130"/>
        <item x="73"/>
        <item x="44"/>
        <item x="49"/>
        <item x="162"/>
        <item x="66"/>
        <item x="17"/>
        <item x="131"/>
        <item x="59"/>
        <item x="43"/>
        <item x="40"/>
        <item x="8"/>
        <item x="129"/>
        <item x="58"/>
        <item x="123"/>
        <item x="125"/>
        <item x="57"/>
        <item x="50"/>
        <item x="22"/>
        <item x="48"/>
        <item x="29"/>
        <item x="0"/>
        <item x="96"/>
        <item x="46"/>
        <item x="24"/>
        <item x="132"/>
        <item x="145"/>
        <item x="56"/>
        <item x="1"/>
        <item x="36"/>
        <item x="12"/>
        <item x="41"/>
        <item x="133"/>
        <item x="116"/>
        <item x="117"/>
        <item x="37"/>
        <item x="10"/>
        <item x="21"/>
        <item x="134"/>
        <item x="55"/>
        <item x="16"/>
        <item x="135"/>
        <item x="136"/>
        <item x="25"/>
        <item x="97"/>
        <item x="104"/>
        <item x="91"/>
        <item x="103"/>
        <item x="155"/>
        <item x="156"/>
        <item x="105"/>
        <item x="92"/>
        <item x="137"/>
        <item x="33"/>
        <item x="127"/>
        <item x="27"/>
        <item x="148"/>
        <item x="75"/>
        <item x="35"/>
        <item x="39"/>
        <item x="72"/>
        <item x="138"/>
        <item x="98"/>
        <item x="118"/>
        <item x="139"/>
        <item x="2"/>
        <item x="54"/>
        <item x="167"/>
        <item x="65"/>
        <item x="100"/>
        <item x="163"/>
        <item x="3"/>
        <item x="119"/>
        <item x="32"/>
        <item x="11"/>
        <item x="26"/>
        <item x="88"/>
        <item x="79"/>
        <item x="149"/>
        <item x="82"/>
        <item x="81"/>
        <item x="47"/>
        <item x="109"/>
        <item x="15"/>
        <item x="106"/>
        <item x="120"/>
        <item x="71"/>
        <item x="101"/>
        <item x="14"/>
        <item x="112"/>
        <item x="18"/>
        <item x="159"/>
        <item x="160"/>
        <item x="94"/>
        <item x="164"/>
        <item x="84"/>
        <item x="83"/>
        <item x="70"/>
        <item x="64"/>
        <item x="89"/>
        <item x="140"/>
        <item x="63"/>
        <item x="90"/>
        <item x="122"/>
        <item x="150"/>
        <item x="28"/>
        <item x="165"/>
        <item x="154"/>
        <item x="4"/>
        <item x="141"/>
        <item x="74"/>
        <item x="107"/>
        <item x="34"/>
        <item x="157"/>
        <item x="166"/>
        <item x="146"/>
        <item x="115"/>
        <item x="121"/>
        <item x="108"/>
        <item x="151"/>
        <item x="53"/>
        <item x="152"/>
        <item x="9"/>
        <item x="62"/>
        <item x="23"/>
        <item x="5"/>
        <item x="78"/>
        <item x="80"/>
        <item x="143"/>
        <item x="61"/>
        <item x="153"/>
        <item x="19"/>
        <item x="126"/>
        <item x="144"/>
        <item x="102"/>
        <item x="60"/>
        <item x="20"/>
        <item x="93"/>
        <item x="111"/>
        <item x="110"/>
        <item x="161"/>
        <item x="31"/>
        <item x="124"/>
        <item x="13"/>
        <item x="6"/>
        <item x="99"/>
        <item x="113"/>
        <item x="142"/>
        <item x="38"/>
        <item x="7"/>
        <item x="114"/>
        <item x="30"/>
        <item x="51"/>
        <item x="52"/>
        <item x="68"/>
        <item x="69"/>
        <item x="76"/>
        <item x="77"/>
        <item x="85"/>
        <item x="86"/>
        <item x="87"/>
        <item x="168"/>
        <item x="169"/>
        <item x="170"/>
        <item x="171"/>
        <item x="172"/>
        <item m="1" x="173"/>
      </items>
    </pivotField>
    <pivotField compact="0" outline="0" showAll="0" defaultSubtotal="0"/>
    <pivotField axis="axisRow" compact="0" outline="0" showAll="0" defaultSubtotal="0">
      <items count="177">
        <item x="100"/>
        <item x="142"/>
        <item x="84"/>
        <item x="64"/>
        <item x="38"/>
        <item x="96"/>
        <item x="83"/>
        <item x="55"/>
        <item x="61"/>
        <item x="149"/>
        <item x="42"/>
        <item x="56"/>
        <item x="41"/>
        <item x="80"/>
        <item x="58"/>
        <item x="137"/>
        <item x="112"/>
        <item x="37"/>
        <item x="2"/>
        <item x="151"/>
        <item x="93"/>
        <item x="65"/>
        <item x="148"/>
        <item x="90"/>
        <item x="162"/>
        <item x="10"/>
        <item x="129"/>
        <item x="13"/>
        <item x="68"/>
        <item x="0"/>
        <item x="74"/>
        <item x="105"/>
        <item x="160"/>
        <item x="92"/>
        <item x="161"/>
        <item x="150"/>
        <item x="23"/>
        <item x="131"/>
        <item x="165"/>
        <item x="106"/>
        <item x="97"/>
        <item x="76"/>
        <item x="44"/>
        <item x="167"/>
        <item x="81"/>
        <item x="94"/>
        <item x="166"/>
        <item x="159"/>
        <item x="12"/>
        <item x="29"/>
        <item x="31"/>
        <item x="114"/>
        <item x="108"/>
        <item x="63"/>
        <item x="155"/>
        <item x="98"/>
        <item x="156"/>
        <item x="145"/>
        <item x="3"/>
        <item x="85"/>
        <item x="72"/>
        <item x="146"/>
        <item x="27"/>
        <item x="95"/>
        <item x="1"/>
        <item x="14"/>
        <item x="62"/>
        <item x="28"/>
        <item x="82"/>
        <item x="75"/>
        <item x="143"/>
        <item x="54"/>
        <item x="32"/>
        <item x="49"/>
        <item x="4"/>
        <item x="163"/>
        <item x="122"/>
        <item x="127"/>
        <item x="168"/>
        <item x="110"/>
        <item x="71"/>
        <item x="102"/>
        <item x="107"/>
        <item x="67"/>
        <item x="128"/>
        <item m="1" x="174"/>
        <item x="11"/>
        <item x="6"/>
        <item x="73"/>
        <item x="147"/>
        <item x="99"/>
        <item x="66"/>
        <item x="121"/>
        <item x="120"/>
        <item x="25"/>
        <item x="152"/>
        <item x="141"/>
        <item x="139"/>
        <item x="119"/>
        <item x="154"/>
        <item n="`" x="113"/>
        <item x="117"/>
        <item x="104"/>
        <item x="101"/>
        <item x="21"/>
        <item x="125"/>
        <item x="26"/>
        <item x="46"/>
        <item x="132"/>
        <item x="5"/>
        <item x="33"/>
        <item x="34"/>
        <item x="60"/>
        <item x="134"/>
        <item x="15"/>
        <item x="103"/>
        <item x="116"/>
        <item x="133"/>
        <item x="43"/>
        <item x="39"/>
        <item x="40"/>
        <item x="91"/>
        <item x="111"/>
        <item x="158"/>
        <item x="8"/>
        <item x="89"/>
        <item x="47"/>
        <item x="18"/>
        <item x="35"/>
        <item x="130"/>
        <item x="59"/>
        <item x="17"/>
        <item x="118"/>
        <item x="140"/>
        <item x="157"/>
        <item x="124"/>
        <item x="9"/>
        <item x="126"/>
        <item x="57"/>
        <item x="136"/>
        <item x="16"/>
        <item x="36"/>
        <item x="53"/>
        <item x="20"/>
        <item x="50"/>
        <item x="79"/>
        <item x="138"/>
        <item x="153"/>
        <item x="24"/>
        <item x="22"/>
        <item x="45"/>
        <item x="109"/>
        <item x="164"/>
        <item x="48"/>
        <item x="135"/>
        <item x="144"/>
        <item x="19"/>
        <item x="115"/>
        <item x="123"/>
        <item x="30"/>
        <item x="51"/>
        <item x="52"/>
        <item x="69"/>
        <item x="70"/>
        <item x="77"/>
        <item x="78"/>
        <item x="86"/>
        <item x="87"/>
        <item x="88"/>
        <item x="7"/>
        <item x="169"/>
        <item x="170"/>
        <item x="171"/>
        <item x="172"/>
        <item x="173"/>
        <item m="1" x="175"/>
        <item m="1" x="176"/>
      </items>
    </pivotField>
    <pivotField axis="axisRow" compact="0" outline="0" showAll="0" defaultSubtotal="0">
      <items count="123">
        <item x="39"/>
        <item x="113"/>
        <item x="18"/>
        <item x="20"/>
        <item x="106"/>
        <item x="105"/>
        <item x="102"/>
        <item x="99"/>
        <item x="111"/>
        <item x="17"/>
        <item x="103"/>
        <item x="101"/>
        <item x="19"/>
        <item x="34"/>
        <item x="29"/>
        <item x="109"/>
        <item x="85"/>
        <item x="110"/>
        <item x="108"/>
        <item x="83"/>
        <item x="78"/>
        <item x="82"/>
        <item x="72"/>
        <item x="1"/>
        <item x="79"/>
        <item x="38"/>
        <item x="104"/>
        <item x="59"/>
        <item x="64"/>
        <item x="68"/>
        <item x="73"/>
        <item x="81"/>
        <item x="112"/>
        <item x="77"/>
        <item x="86"/>
        <item x="80"/>
        <item x="27"/>
        <item x="97"/>
        <item x="98"/>
        <item x="74"/>
        <item x="114"/>
        <item x="44"/>
        <item x="100"/>
        <item x="3"/>
        <item x="31"/>
        <item x="84"/>
        <item x="35"/>
        <item x="107"/>
        <item x="41"/>
        <item x="118"/>
        <item x="28"/>
        <item x="32"/>
        <item x="37"/>
        <item x="22"/>
        <item x="43"/>
        <item x="55"/>
        <item x="58"/>
        <item x="115"/>
        <item x="9"/>
        <item x="12"/>
        <item x="23"/>
        <item x="50"/>
        <item x="70"/>
        <item x="0"/>
        <item x="2"/>
        <item x="4"/>
        <item x="5"/>
        <item x="6"/>
        <item x="7"/>
        <item x="8"/>
        <item x="10"/>
        <item x="11"/>
        <item x="13"/>
        <item x="14"/>
        <item x="15"/>
        <item x="16"/>
        <item x="45"/>
        <item x="21"/>
        <item x="24"/>
        <item x="25"/>
        <item x="26"/>
        <item x="33"/>
        <item x="36"/>
        <item x="40"/>
        <item x="42"/>
        <item x="51"/>
        <item x="52"/>
        <item x="53"/>
        <item x="54"/>
        <item x="46"/>
        <item x="47"/>
        <item x="56"/>
        <item x="57"/>
        <item x="48"/>
        <item x="49"/>
        <item x="60"/>
        <item x="61"/>
        <item x="62"/>
        <item x="63"/>
        <item x="65"/>
        <item x="66"/>
        <item x="67"/>
        <item x="69"/>
        <item x="71"/>
        <item x="88"/>
        <item x="89"/>
        <item x="90"/>
        <item x="91"/>
        <item x="92"/>
        <item x="93"/>
        <item x="94"/>
        <item x="95"/>
        <item x="96"/>
        <item x="116"/>
        <item x="117"/>
        <item x="119"/>
        <item x="120"/>
        <item x="121"/>
        <item x="122"/>
        <item x="87"/>
        <item x="30"/>
        <item x="75"/>
        <item x="76"/>
      </items>
    </pivotField>
    <pivotField axis="axisRow" compact="0" outline="0" showAll="0" defaultSubtotal="0">
      <items count="38">
        <item h="1" x="17"/>
        <item h="1" x="4"/>
        <item h="1" x="0"/>
        <item h="1" x="3"/>
        <item h="1" x="9"/>
        <item h="1" x="5"/>
        <item h="1" x="13"/>
        <item x="7"/>
        <item h="1" x="10"/>
        <item h="1" x="1"/>
        <item h="1" x="18"/>
        <item h="1" x="16"/>
        <item h="1" x="2"/>
        <item h="1" x="8"/>
        <item h="1" x="15"/>
        <item h="1" x="6"/>
        <item h="1" x="19"/>
        <item h="1" x="12"/>
        <item h="1" x="11"/>
        <item h="1" x="14"/>
        <item h="1" x="20"/>
        <item h="1" m="1" x="21"/>
        <item h="1" m="1" x="22"/>
        <item h="1" m="1" x="23"/>
        <item h="1" m="1" x="24"/>
        <item h="1" m="1" x="25"/>
        <item h="1" m="1" x="26"/>
        <item h="1" m="1" x="27"/>
        <item h="1" m="1" x="28"/>
        <item h="1" m="1" x="29"/>
        <item h="1" m="1" x="30"/>
        <item h="1" m="1" x="31"/>
        <item h="1" m="1" x="32"/>
        <item h="1" m="1" x="33"/>
        <item h="1" m="1" x="34"/>
        <item h="1" m="1" x="35"/>
        <item h="1" m="1" x="36"/>
        <item h="1" m="1" x="37"/>
      </items>
    </pivotField>
    <pivotField compact="0" outline="0" showAll="0" defaultSubtotal="0">
      <items count="4">
        <item x="0"/>
        <item h="1" x="1"/>
        <item h="1" x="2"/>
        <item h="1" x="3"/>
      </items>
    </pivotField>
  </pivotFields>
  <rowFields count="5">
    <field x="2"/>
    <field x="8"/>
    <field x="4"/>
    <field x="7"/>
    <field x="6"/>
  </rowFields>
  <rowItems count="13">
    <i>
      <x v="6"/>
      <x v="7"/>
      <x v="6"/>
      <x v="99"/>
      <x v="28"/>
    </i>
    <i r="2">
      <x v="12"/>
      <x v="28"/>
      <x v="83"/>
    </i>
    <i r="2">
      <x v="15"/>
      <x v="56"/>
      <x v="112"/>
    </i>
    <i r="2">
      <x v="20"/>
      <x v="92"/>
      <x v="130"/>
    </i>
    <i r="2">
      <x v="23"/>
      <x v="55"/>
      <x v="138"/>
    </i>
    <i r="2">
      <x v="28"/>
      <x v="91"/>
      <x v="14"/>
    </i>
    <i r="2">
      <x v="75"/>
      <x v="98"/>
      <x v="91"/>
    </i>
    <i r="2">
      <x v="105"/>
      <x v="97"/>
      <x v="21"/>
    </i>
    <i r="2">
      <x v="108"/>
      <x v="96"/>
      <x v="3"/>
    </i>
    <i r="2">
      <x v="136"/>
      <x v="95"/>
      <x v="66"/>
    </i>
    <i r="2">
      <x v="161"/>
      <x v="120"/>
      <x v="162"/>
    </i>
    <i r="2">
      <x v="162"/>
      <x v="120"/>
      <x v="16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M_s" xr10:uid="{00000000-0013-0000-FFFF-FFFF01000000}" sourceName="DM's">
  <pivotTables>
    <pivotTable tabId="4" name="PivotTable1"/>
  </pivotTables>
  <data>
    <tabular pivotCacheId="3">
      <items count="38">
        <i x="4"/>
        <i x="0"/>
        <i x="8"/>
        <i x="3"/>
        <i x="2"/>
        <i x="12"/>
        <i x="5"/>
        <i x="6"/>
        <i x="15"/>
        <i x="7" s="1"/>
        <i x="11"/>
        <i x="10"/>
        <i x="1"/>
        <i x="19"/>
        <i x="18"/>
        <i x="14"/>
        <i x="16"/>
        <i x="17" nd="1"/>
        <i x="36" nd="1"/>
        <i x="21" nd="1"/>
        <i x="9" nd="1"/>
        <i x="26" nd="1"/>
        <i x="25" nd="1"/>
        <i x="33" nd="1"/>
        <i x="35" nd="1"/>
        <i x="29" nd="1"/>
        <i x="30" nd="1"/>
        <i x="31" nd="1"/>
        <i x="28" nd="1"/>
        <i x="13" nd="1"/>
        <i x="23" nd="1"/>
        <i x="22" nd="1"/>
        <i x="32" nd="1"/>
        <i x="34" nd="1"/>
        <i x="37" nd="1"/>
        <i x="24" nd="1"/>
        <i x="27" nd="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2000000}" sourceName="Status">
  <pivotTables>
    <pivotTable tabId="4" name="PivotTable1"/>
  </pivotTables>
  <data>
    <tabular pivotCacheId="3">
      <items count="4">
        <i x="0" s="1"/>
        <i x="1"/>
        <i x="2"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M's" xr10:uid="{00000000-0014-0000-FFFF-FFFF01000000}" cache="Slicer_DM_s" caption="DM's" startItem="3" rowHeight="234950"/>
  <slicer name="Status" xr10:uid="{00000000-0014-0000-FFFF-FFFF02000000}" cache="Slicer_Status" caption="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enni/@~Nallely%20Pi&#241;on"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Y494"/>
  <sheetViews>
    <sheetView tabSelected="1" zoomScale="85" zoomScaleNormal="85" workbookViewId="0">
      <pane ySplit="1" topLeftCell="A151" activePane="bottomLeft" state="frozen"/>
      <selection pane="bottomLeft" activeCell="B163" sqref="A163:XFD163"/>
    </sheetView>
  </sheetViews>
  <sheetFormatPr defaultColWidth="9.140625" defaultRowHeight="15" x14ac:dyDescent="0.25"/>
  <cols>
    <col min="1" max="1" width="9.7109375" style="2" bestFit="1" customWidth="1"/>
    <col min="2" max="2" width="16.42578125" style="2" bestFit="1" customWidth="1"/>
    <col min="3" max="3" width="18.28515625" style="2" bestFit="1" customWidth="1"/>
    <col min="4" max="4" width="13.5703125" style="2" bestFit="1" customWidth="1"/>
    <col min="5" max="5" width="26.140625" style="2" bestFit="1" customWidth="1"/>
    <col min="6" max="6" width="13.5703125" style="2" customWidth="1"/>
    <col min="7" max="7" width="56.140625" style="2" bestFit="1" customWidth="1"/>
    <col min="8" max="8" width="27.42578125" style="2" customWidth="1"/>
    <col min="9" max="9" width="18.140625" style="2" bestFit="1" customWidth="1"/>
    <col min="10" max="10" width="11.7109375" style="2" bestFit="1" customWidth="1"/>
    <col min="11" max="12" width="9.85546875" style="2" bestFit="1" customWidth="1"/>
    <col min="13" max="13" width="1.85546875" style="2" customWidth="1"/>
    <col min="14" max="17" width="9.140625" style="2"/>
    <col min="18" max="18" width="18.5703125" style="2" bestFit="1" customWidth="1"/>
    <col min="19" max="24" width="9.140625" style="2"/>
    <col min="25" max="25" width="15.28515625" style="2" bestFit="1" customWidth="1"/>
    <col min="26" max="16384" width="9.140625" style="2"/>
  </cols>
  <sheetData>
    <row r="1" spans="1:18" x14ac:dyDescent="0.25">
      <c r="A1" s="1" t="s">
        <v>0</v>
      </c>
      <c r="B1" s="1" t="s">
        <v>5</v>
      </c>
      <c r="C1" s="1" t="s">
        <v>1</v>
      </c>
      <c r="D1" s="1" t="s">
        <v>3</v>
      </c>
      <c r="E1" s="1" t="s">
        <v>2</v>
      </c>
      <c r="F1" s="1" t="s">
        <v>3</v>
      </c>
      <c r="G1" s="1" t="s">
        <v>4</v>
      </c>
      <c r="H1" s="1" t="s">
        <v>396</v>
      </c>
      <c r="I1" s="1" t="s">
        <v>397</v>
      </c>
      <c r="J1" s="1" t="s">
        <v>6</v>
      </c>
      <c r="N1" s="11" t="s">
        <v>467</v>
      </c>
      <c r="O1" s="11" t="s">
        <v>180</v>
      </c>
      <c r="P1" s="11" t="s">
        <v>435</v>
      </c>
    </row>
    <row r="2" spans="1:18" x14ac:dyDescent="0.25">
      <c r="A2" s="4">
        <v>1</v>
      </c>
      <c r="B2" s="4">
        <v>70817942</v>
      </c>
      <c r="C2" s="4" t="s">
        <v>339</v>
      </c>
      <c r="D2" s="4" t="s">
        <v>228</v>
      </c>
      <c r="E2" s="4" t="s">
        <v>30</v>
      </c>
      <c r="F2" s="4" t="s">
        <v>228</v>
      </c>
      <c r="G2" s="4" t="s">
        <v>229</v>
      </c>
      <c r="H2" s="4" t="s">
        <v>578</v>
      </c>
      <c r="I2" s="4" t="s">
        <v>711</v>
      </c>
      <c r="J2" s="4" t="s">
        <v>553</v>
      </c>
      <c r="N2" s="4">
        <v>141</v>
      </c>
      <c r="O2" s="4">
        <v>11</v>
      </c>
      <c r="P2" s="4">
        <f>N2-O2</f>
        <v>130</v>
      </c>
      <c r="R2" s="2" t="s">
        <v>712</v>
      </c>
    </row>
    <row r="3" spans="1:18" x14ac:dyDescent="0.25">
      <c r="A3" s="4">
        <v>2</v>
      </c>
      <c r="B3" s="4">
        <v>70817941</v>
      </c>
      <c r="C3" s="4" t="s">
        <v>339</v>
      </c>
      <c r="D3" s="4" t="s">
        <v>231</v>
      </c>
      <c r="E3" s="4" t="s">
        <v>230</v>
      </c>
      <c r="F3" s="4" t="s">
        <v>231</v>
      </c>
      <c r="G3" s="4" t="s">
        <v>232</v>
      </c>
      <c r="H3" s="4" t="s">
        <v>466</v>
      </c>
      <c r="I3" s="4" t="s">
        <v>711</v>
      </c>
      <c r="J3" s="4" t="s">
        <v>553</v>
      </c>
      <c r="R3" s="2" t="s">
        <v>712</v>
      </c>
    </row>
    <row r="4" spans="1:18" x14ac:dyDescent="0.25">
      <c r="A4" s="4">
        <v>3</v>
      </c>
      <c r="B4" s="4">
        <v>70817937</v>
      </c>
      <c r="C4" s="4" t="s">
        <v>339</v>
      </c>
      <c r="D4" s="4" t="s">
        <v>234</v>
      </c>
      <c r="E4" s="4" t="s">
        <v>233</v>
      </c>
      <c r="F4" s="4" t="s">
        <v>234</v>
      </c>
      <c r="G4" s="4" t="s">
        <v>235</v>
      </c>
      <c r="H4" s="4" t="s">
        <v>579</v>
      </c>
      <c r="I4" s="4" t="s">
        <v>711</v>
      </c>
      <c r="J4" s="4" t="s">
        <v>553</v>
      </c>
      <c r="R4" s="2" t="s">
        <v>712</v>
      </c>
    </row>
    <row r="5" spans="1:18" x14ac:dyDescent="0.25">
      <c r="A5" s="4">
        <v>4</v>
      </c>
      <c r="B5" s="4">
        <v>70817944</v>
      </c>
      <c r="C5" s="4" t="s">
        <v>339</v>
      </c>
      <c r="D5" s="4" t="s">
        <v>237</v>
      </c>
      <c r="E5" s="4" t="s">
        <v>236</v>
      </c>
      <c r="F5" s="4" t="s">
        <v>237</v>
      </c>
      <c r="G5" s="4" t="s">
        <v>238</v>
      </c>
      <c r="H5" s="4" t="s">
        <v>503</v>
      </c>
      <c r="I5" s="4" t="s">
        <v>711</v>
      </c>
      <c r="J5" s="4" t="s">
        <v>553</v>
      </c>
      <c r="R5" s="2" t="s">
        <v>712</v>
      </c>
    </row>
    <row r="6" spans="1:18" x14ac:dyDescent="0.25">
      <c r="A6" s="4">
        <v>5</v>
      </c>
      <c r="B6" s="4">
        <v>70817943</v>
      </c>
      <c r="C6" s="4" t="s">
        <v>339</v>
      </c>
      <c r="D6" s="4" t="s">
        <v>240</v>
      </c>
      <c r="E6" s="4" t="s">
        <v>239</v>
      </c>
      <c r="F6" s="4" t="s">
        <v>240</v>
      </c>
      <c r="G6" s="4" t="s">
        <v>241</v>
      </c>
      <c r="H6" s="4" t="s">
        <v>580</v>
      </c>
      <c r="I6" s="4" t="s">
        <v>711</v>
      </c>
      <c r="J6" s="4" t="s">
        <v>553</v>
      </c>
      <c r="R6" s="2" t="s">
        <v>712</v>
      </c>
    </row>
    <row r="7" spans="1:18" x14ac:dyDescent="0.25">
      <c r="A7" s="4">
        <v>6</v>
      </c>
      <c r="B7" s="4">
        <v>70817939</v>
      </c>
      <c r="C7" s="4" t="s">
        <v>339</v>
      </c>
      <c r="D7" s="4" t="s">
        <v>243</v>
      </c>
      <c r="E7" s="4" t="s">
        <v>242</v>
      </c>
      <c r="F7" s="4" t="s">
        <v>243</v>
      </c>
      <c r="G7" s="4" t="s">
        <v>244</v>
      </c>
      <c r="H7" s="4" t="s">
        <v>581</v>
      </c>
      <c r="I7" s="4" t="s">
        <v>711</v>
      </c>
      <c r="J7" s="4" t="s">
        <v>553</v>
      </c>
      <c r="R7" s="2" t="s">
        <v>712</v>
      </c>
    </row>
    <row r="8" spans="1:18" x14ac:dyDescent="0.25">
      <c r="A8" s="4">
        <v>7</v>
      </c>
      <c r="B8" s="4">
        <v>70817938</v>
      </c>
      <c r="C8" s="4" t="s">
        <v>339</v>
      </c>
      <c r="D8" s="4" t="s">
        <v>246</v>
      </c>
      <c r="E8" s="4" t="s">
        <v>245</v>
      </c>
      <c r="F8" s="4" t="s">
        <v>246</v>
      </c>
      <c r="G8" s="4" t="s">
        <v>247</v>
      </c>
      <c r="H8" s="4" t="s">
        <v>582</v>
      </c>
      <c r="I8" s="4" t="s">
        <v>711</v>
      </c>
      <c r="J8" s="4" t="s">
        <v>180</v>
      </c>
      <c r="K8" s="5">
        <v>45141</v>
      </c>
      <c r="R8" s="2" t="s">
        <v>712</v>
      </c>
    </row>
    <row r="9" spans="1:18" x14ac:dyDescent="0.25">
      <c r="A9" s="4">
        <v>8</v>
      </c>
      <c r="B9" s="4">
        <v>70817940</v>
      </c>
      <c r="C9" s="4" t="s">
        <v>339</v>
      </c>
      <c r="D9" s="4" t="s">
        <v>249</v>
      </c>
      <c r="E9" s="4" t="s">
        <v>248</v>
      </c>
      <c r="F9" s="4" t="s">
        <v>249</v>
      </c>
      <c r="G9" s="4" t="s">
        <v>670</v>
      </c>
      <c r="H9" s="4" t="s">
        <v>583</v>
      </c>
      <c r="I9" s="4" t="s">
        <v>711</v>
      </c>
      <c r="J9" s="4" t="s">
        <v>553</v>
      </c>
      <c r="R9" s="2" t="s">
        <v>712</v>
      </c>
    </row>
    <row r="10" spans="1:18" x14ac:dyDescent="0.25">
      <c r="A10" s="4">
        <v>9</v>
      </c>
      <c r="B10" s="4">
        <v>70846622</v>
      </c>
      <c r="C10" s="4" t="s">
        <v>339</v>
      </c>
      <c r="D10" s="4" t="s">
        <v>369</v>
      </c>
      <c r="E10" s="4" t="s">
        <v>368</v>
      </c>
      <c r="F10" s="4" t="s">
        <v>369</v>
      </c>
      <c r="G10" s="4" t="s">
        <v>367</v>
      </c>
      <c r="H10" s="4" t="s">
        <v>584</v>
      </c>
      <c r="I10" s="4" t="s">
        <v>711</v>
      </c>
      <c r="J10" s="4" t="s">
        <v>553</v>
      </c>
      <c r="K10" s="2" t="s">
        <v>392</v>
      </c>
      <c r="R10" s="2" t="s">
        <v>712</v>
      </c>
    </row>
    <row r="11" spans="1:18" x14ac:dyDescent="0.25">
      <c r="A11" s="4">
        <v>10</v>
      </c>
      <c r="B11" s="4">
        <v>70817909</v>
      </c>
      <c r="C11" s="4" t="s">
        <v>184</v>
      </c>
      <c r="D11" s="4" t="s">
        <v>186</v>
      </c>
      <c r="E11" s="4" t="s">
        <v>185</v>
      </c>
      <c r="F11" s="4" t="s">
        <v>186</v>
      </c>
      <c r="G11" s="4" t="s">
        <v>187</v>
      </c>
      <c r="H11" s="4" t="s">
        <v>554</v>
      </c>
      <c r="I11" s="4" t="s">
        <v>557</v>
      </c>
      <c r="J11" s="4" t="s">
        <v>553</v>
      </c>
      <c r="R11" s="2" t="s">
        <v>702</v>
      </c>
    </row>
    <row r="12" spans="1:18" x14ac:dyDescent="0.25">
      <c r="A12" s="4">
        <v>11</v>
      </c>
      <c r="B12" s="4">
        <v>70817905</v>
      </c>
      <c r="C12" s="4" t="s">
        <v>184</v>
      </c>
      <c r="D12" s="4" t="s">
        <v>189</v>
      </c>
      <c r="E12" s="4" t="s">
        <v>188</v>
      </c>
      <c r="F12" s="4" t="s">
        <v>189</v>
      </c>
      <c r="G12" s="4" t="s">
        <v>190</v>
      </c>
      <c r="H12" s="4" t="s">
        <v>611</v>
      </c>
      <c r="I12" s="4" t="s">
        <v>557</v>
      </c>
      <c r="J12" s="4" t="s">
        <v>553</v>
      </c>
      <c r="R12" s="2" t="s">
        <v>702</v>
      </c>
    </row>
    <row r="13" spans="1:18" x14ac:dyDescent="0.25">
      <c r="A13" s="4">
        <v>12</v>
      </c>
      <c r="B13" s="4">
        <v>70817914</v>
      </c>
      <c r="C13" s="4" t="s">
        <v>184</v>
      </c>
      <c r="D13" s="4" t="s">
        <v>192</v>
      </c>
      <c r="E13" s="4" t="s">
        <v>191</v>
      </c>
      <c r="F13" s="4" t="s">
        <v>192</v>
      </c>
      <c r="G13" s="4" t="s">
        <v>193</v>
      </c>
      <c r="H13" s="4" t="s">
        <v>612</v>
      </c>
      <c r="I13" s="4" t="s">
        <v>557</v>
      </c>
      <c r="J13" s="4" t="s">
        <v>553</v>
      </c>
      <c r="R13" s="2" t="s">
        <v>702</v>
      </c>
    </row>
    <row r="14" spans="1:18" x14ac:dyDescent="0.25">
      <c r="A14" s="4">
        <v>13</v>
      </c>
      <c r="B14" s="4">
        <v>70817907</v>
      </c>
      <c r="C14" s="4" t="s">
        <v>184</v>
      </c>
      <c r="D14" s="4" t="s">
        <v>195</v>
      </c>
      <c r="E14" s="4" t="s">
        <v>194</v>
      </c>
      <c r="F14" s="4" t="s">
        <v>195</v>
      </c>
      <c r="G14" s="4" t="s">
        <v>196</v>
      </c>
      <c r="H14" s="4" t="s">
        <v>555</v>
      </c>
      <c r="I14" s="4" t="s">
        <v>557</v>
      </c>
      <c r="J14" s="4" t="s">
        <v>553</v>
      </c>
      <c r="R14" s="2" t="s">
        <v>702</v>
      </c>
    </row>
    <row r="15" spans="1:18" x14ac:dyDescent="0.25">
      <c r="A15" s="4">
        <v>14</v>
      </c>
      <c r="B15" s="4">
        <v>70817916</v>
      </c>
      <c r="C15" s="4" t="s">
        <v>184</v>
      </c>
      <c r="D15" s="4" t="s">
        <v>198</v>
      </c>
      <c r="E15" s="4" t="s">
        <v>197</v>
      </c>
      <c r="F15" s="4" t="s">
        <v>198</v>
      </c>
      <c r="G15" s="4" t="s">
        <v>199</v>
      </c>
      <c r="H15" s="4" t="s">
        <v>613</v>
      </c>
      <c r="I15" s="4" t="s">
        <v>557</v>
      </c>
      <c r="J15" s="4" t="s">
        <v>553</v>
      </c>
      <c r="R15" s="2" t="s">
        <v>702</v>
      </c>
    </row>
    <row r="16" spans="1:18" x14ac:dyDescent="0.25">
      <c r="A16" s="4">
        <v>15</v>
      </c>
      <c r="B16" s="4">
        <v>70817902</v>
      </c>
      <c r="C16" s="4" t="s">
        <v>184</v>
      </c>
      <c r="D16" s="4" t="s">
        <v>201</v>
      </c>
      <c r="E16" s="4" t="s">
        <v>200</v>
      </c>
      <c r="F16" s="4" t="s">
        <v>201</v>
      </c>
      <c r="G16" s="4" t="s">
        <v>202</v>
      </c>
      <c r="H16" s="4" t="s">
        <v>614</v>
      </c>
      <c r="I16" s="4" t="s">
        <v>557</v>
      </c>
      <c r="J16" s="4" t="s">
        <v>553</v>
      </c>
      <c r="R16" s="2" t="s">
        <v>702</v>
      </c>
    </row>
    <row r="17" spans="1:18" x14ac:dyDescent="0.25">
      <c r="A17" s="4">
        <v>16</v>
      </c>
      <c r="B17" s="4">
        <v>70817904</v>
      </c>
      <c r="C17" s="4" t="s">
        <v>184</v>
      </c>
      <c r="D17" s="4" t="s">
        <v>204</v>
      </c>
      <c r="E17" s="4" t="s">
        <v>203</v>
      </c>
      <c r="F17" s="4" t="s">
        <v>204</v>
      </c>
      <c r="G17" s="4" t="s">
        <v>205</v>
      </c>
      <c r="H17" s="4" t="s">
        <v>615</v>
      </c>
      <c r="I17" s="4" t="s">
        <v>557</v>
      </c>
      <c r="J17" s="4" t="s">
        <v>553</v>
      </c>
      <c r="R17" s="2" t="s">
        <v>702</v>
      </c>
    </row>
    <row r="18" spans="1:18" x14ac:dyDescent="0.25">
      <c r="A18" s="4">
        <v>17</v>
      </c>
      <c r="B18" s="4">
        <v>70817908</v>
      </c>
      <c r="C18" s="4" t="s">
        <v>184</v>
      </c>
      <c r="D18" s="4" t="s">
        <v>207</v>
      </c>
      <c r="E18" s="4" t="s">
        <v>206</v>
      </c>
      <c r="F18" s="4" t="s">
        <v>207</v>
      </c>
      <c r="G18" s="4" t="s">
        <v>208</v>
      </c>
      <c r="H18" s="4" t="s">
        <v>616</v>
      </c>
      <c r="I18" s="4" t="s">
        <v>557</v>
      </c>
      <c r="J18" s="4" t="s">
        <v>553</v>
      </c>
      <c r="R18" s="2" t="s">
        <v>702</v>
      </c>
    </row>
    <row r="19" spans="1:18" x14ac:dyDescent="0.25">
      <c r="A19" s="4">
        <v>18</v>
      </c>
      <c r="B19" s="4">
        <v>70851175</v>
      </c>
      <c r="C19" s="4" t="s">
        <v>523</v>
      </c>
      <c r="D19" s="4" t="s">
        <v>524</v>
      </c>
      <c r="E19" s="4" t="s">
        <v>525</v>
      </c>
      <c r="F19" s="4" t="s">
        <v>524</v>
      </c>
      <c r="G19" s="4" t="s">
        <v>532</v>
      </c>
      <c r="H19" s="4" t="s">
        <v>537</v>
      </c>
      <c r="I19" s="4" t="s">
        <v>569</v>
      </c>
      <c r="J19" s="4" t="s">
        <v>553</v>
      </c>
      <c r="R19" s="2" t="s">
        <v>703</v>
      </c>
    </row>
    <row r="20" spans="1:18" x14ac:dyDescent="0.25">
      <c r="A20" s="4">
        <v>19</v>
      </c>
      <c r="B20" s="4">
        <v>70851176</v>
      </c>
      <c r="C20" s="4" t="s">
        <v>523</v>
      </c>
      <c r="D20" s="4" t="s">
        <v>526</v>
      </c>
      <c r="E20" s="4" t="s">
        <v>527</v>
      </c>
      <c r="F20" s="4" t="s">
        <v>526</v>
      </c>
      <c r="G20" s="4" t="s">
        <v>533</v>
      </c>
      <c r="H20" s="4" t="s">
        <v>536</v>
      </c>
      <c r="I20" s="4" t="s">
        <v>569</v>
      </c>
      <c r="J20" s="4" t="s">
        <v>553</v>
      </c>
      <c r="R20" s="2" t="s">
        <v>703</v>
      </c>
    </row>
    <row r="21" spans="1:18" x14ac:dyDescent="0.25">
      <c r="A21" s="4">
        <v>20</v>
      </c>
      <c r="B21" s="4">
        <v>70851177</v>
      </c>
      <c r="C21" s="4" t="s">
        <v>523</v>
      </c>
      <c r="D21" s="4" t="s">
        <v>528</v>
      </c>
      <c r="E21" s="4" t="s">
        <v>529</v>
      </c>
      <c r="F21" s="4" t="s">
        <v>528</v>
      </c>
      <c r="G21" s="4" t="s">
        <v>534</v>
      </c>
      <c r="H21" s="4" t="s">
        <v>538</v>
      </c>
      <c r="I21" s="4" t="s">
        <v>569</v>
      </c>
      <c r="J21" s="4" t="s">
        <v>553</v>
      </c>
      <c r="R21" s="2" t="s">
        <v>703</v>
      </c>
    </row>
    <row r="22" spans="1:18" x14ac:dyDescent="0.25">
      <c r="A22" s="4">
        <v>21</v>
      </c>
      <c r="B22" s="4">
        <v>70851178</v>
      </c>
      <c r="C22" s="4" t="s">
        <v>523</v>
      </c>
      <c r="D22" s="4" t="s">
        <v>530</v>
      </c>
      <c r="E22" s="4" t="s">
        <v>531</v>
      </c>
      <c r="F22" s="4" t="s">
        <v>530</v>
      </c>
      <c r="G22" s="4" t="s">
        <v>535</v>
      </c>
      <c r="H22" s="4" t="s">
        <v>539</v>
      </c>
      <c r="I22" s="4" t="s">
        <v>569</v>
      </c>
      <c r="J22" s="4" t="s">
        <v>553</v>
      </c>
      <c r="R22" s="2" t="s">
        <v>703</v>
      </c>
    </row>
    <row r="23" spans="1:18" x14ac:dyDescent="0.25">
      <c r="A23" s="4">
        <v>22</v>
      </c>
      <c r="B23" s="4">
        <v>70818016</v>
      </c>
      <c r="C23" s="4" t="s">
        <v>335</v>
      </c>
      <c r="D23" s="4" t="s">
        <v>49</v>
      </c>
      <c r="E23" s="4" t="s">
        <v>48</v>
      </c>
      <c r="F23" s="4" t="s">
        <v>49</v>
      </c>
      <c r="G23" s="4" t="s">
        <v>50</v>
      </c>
      <c r="H23" s="4" t="s">
        <v>589</v>
      </c>
      <c r="I23" s="4" t="s">
        <v>558</v>
      </c>
      <c r="J23" s="4" t="s">
        <v>553</v>
      </c>
      <c r="R23" s="2" t="s">
        <v>688</v>
      </c>
    </row>
    <row r="24" spans="1:18" x14ac:dyDescent="0.25">
      <c r="A24" s="4">
        <v>23</v>
      </c>
      <c r="B24" s="4">
        <v>70817982</v>
      </c>
      <c r="C24" s="4" t="s">
        <v>335</v>
      </c>
      <c r="D24" s="4" t="s">
        <v>71</v>
      </c>
      <c r="E24" s="4" t="s">
        <v>70</v>
      </c>
      <c r="F24" s="4" t="s">
        <v>71</v>
      </c>
      <c r="G24" s="4" t="s">
        <v>72</v>
      </c>
      <c r="H24" s="4" t="s">
        <v>546</v>
      </c>
      <c r="I24" s="4" t="s">
        <v>558</v>
      </c>
      <c r="J24" s="4" t="s">
        <v>553</v>
      </c>
      <c r="R24" s="2" t="s">
        <v>688</v>
      </c>
    </row>
    <row r="25" spans="1:18" x14ac:dyDescent="0.25">
      <c r="A25" s="4">
        <v>24</v>
      </c>
      <c r="B25" s="4">
        <v>70817985</v>
      </c>
      <c r="C25" s="4" t="s">
        <v>335</v>
      </c>
      <c r="D25" s="4" t="s">
        <v>77</v>
      </c>
      <c r="E25" s="4" t="s">
        <v>76</v>
      </c>
      <c r="F25" s="4" t="s">
        <v>77</v>
      </c>
      <c r="G25" s="4" t="s">
        <v>78</v>
      </c>
      <c r="H25" s="4" t="s">
        <v>570</v>
      </c>
      <c r="I25" s="4" t="s">
        <v>558</v>
      </c>
      <c r="J25" s="4" t="s">
        <v>553</v>
      </c>
      <c r="R25" s="2" t="s">
        <v>688</v>
      </c>
    </row>
    <row r="26" spans="1:18" x14ac:dyDescent="0.25">
      <c r="A26" s="4">
        <v>25</v>
      </c>
      <c r="B26" s="4">
        <v>70818074</v>
      </c>
      <c r="C26" s="4" t="s">
        <v>335</v>
      </c>
      <c r="D26" s="4" t="s">
        <v>10</v>
      </c>
      <c r="E26" s="4" t="s">
        <v>384</v>
      </c>
      <c r="F26" s="4" t="s">
        <v>10</v>
      </c>
      <c r="G26" s="4" t="s">
        <v>383</v>
      </c>
      <c r="H26" s="4" t="s">
        <v>590</v>
      </c>
      <c r="I26" s="4" t="s">
        <v>558</v>
      </c>
      <c r="J26" s="4" t="s">
        <v>553</v>
      </c>
      <c r="R26" s="2" t="s">
        <v>688</v>
      </c>
    </row>
    <row r="27" spans="1:18" x14ac:dyDescent="0.25">
      <c r="A27" s="4">
        <v>26</v>
      </c>
      <c r="B27" s="4">
        <v>70818075</v>
      </c>
      <c r="C27" s="4" t="s">
        <v>335</v>
      </c>
      <c r="D27" s="4" t="s">
        <v>11</v>
      </c>
      <c r="E27" s="4" t="s">
        <v>385</v>
      </c>
      <c r="F27" s="4" t="s">
        <v>11</v>
      </c>
      <c r="G27" s="4" t="s">
        <v>386</v>
      </c>
      <c r="H27" s="4" t="s">
        <v>592</v>
      </c>
      <c r="I27" s="4" t="s">
        <v>558</v>
      </c>
      <c r="J27" s="4" t="s">
        <v>553</v>
      </c>
      <c r="R27" s="2" t="s">
        <v>688</v>
      </c>
    </row>
    <row r="28" spans="1:18" x14ac:dyDescent="0.25">
      <c r="A28" s="4">
        <v>27</v>
      </c>
      <c r="B28" s="4">
        <v>70818077</v>
      </c>
      <c r="C28" s="4" t="s">
        <v>335</v>
      </c>
      <c r="D28" s="4" t="s">
        <v>12</v>
      </c>
      <c r="E28" s="4" t="s">
        <v>388</v>
      </c>
      <c r="F28" s="4" t="s">
        <v>12</v>
      </c>
      <c r="G28" s="4" t="s">
        <v>387</v>
      </c>
      <c r="H28" s="4" t="s">
        <v>591</v>
      </c>
      <c r="I28" s="4" t="s">
        <v>558</v>
      </c>
      <c r="J28" s="4" t="s">
        <v>553</v>
      </c>
      <c r="R28" s="2" t="s">
        <v>688</v>
      </c>
    </row>
    <row r="29" spans="1:18" x14ac:dyDescent="0.25">
      <c r="A29" s="4">
        <v>28</v>
      </c>
      <c r="B29" s="4">
        <v>70818076</v>
      </c>
      <c r="C29" s="4" t="s">
        <v>335</v>
      </c>
      <c r="D29" s="4" t="s">
        <v>13</v>
      </c>
      <c r="E29" s="4" t="s">
        <v>389</v>
      </c>
      <c r="F29" s="4" t="s">
        <v>13</v>
      </c>
      <c r="G29" s="4" t="s">
        <v>390</v>
      </c>
      <c r="H29" s="4" t="s">
        <v>407</v>
      </c>
      <c r="I29" s="4" t="s">
        <v>558</v>
      </c>
      <c r="J29" s="4" t="s">
        <v>553</v>
      </c>
      <c r="R29" s="2" t="s">
        <v>688</v>
      </c>
    </row>
    <row r="30" spans="1:18" x14ac:dyDescent="0.25">
      <c r="A30" s="4">
        <v>29</v>
      </c>
      <c r="B30" s="4">
        <v>70850781</v>
      </c>
      <c r="C30" s="4" t="s">
        <v>335</v>
      </c>
      <c r="D30" s="4" t="s">
        <v>504</v>
      </c>
      <c r="E30" s="4" t="s">
        <v>506</v>
      </c>
      <c r="F30" s="4" t="s">
        <v>504</v>
      </c>
      <c r="G30" s="4" t="s">
        <v>508</v>
      </c>
      <c r="H30" s="4" t="s">
        <v>543</v>
      </c>
      <c r="I30" s="4" t="s">
        <v>558</v>
      </c>
      <c r="J30" s="4" t="s">
        <v>180</v>
      </c>
      <c r="K30" s="2" t="s">
        <v>392</v>
      </c>
      <c r="L30" s="5">
        <v>45439</v>
      </c>
      <c r="R30" s="2" t="s">
        <v>688</v>
      </c>
    </row>
    <row r="31" spans="1:18" x14ac:dyDescent="0.25">
      <c r="A31" s="4">
        <v>30</v>
      </c>
      <c r="B31" s="4">
        <v>70850782</v>
      </c>
      <c r="C31" s="4" t="s">
        <v>335</v>
      </c>
      <c r="D31" s="4" t="s">
        <v>505</v>
      </c>
      <c r="E31" s="4" t="s">
        <v>507</v>
      </c>
      <c r="F31" s="4" t="s">
        <v>505</v>
      </c>
      <c r="G31" s="4" t="s">
        <v>509</v>
      </c>
      <c r="H31" s="4" t="s">
        <v>593</v>
      </c>
      <c r="I31" s="4" t="s">
        <v>558</v>
      </c>
      <c r="J31" s="4" t="s">
        <v>553</v>
      </c>
      <c r="K31" s="2" t="s">
        <v>392</v>
      </c>
      <c r="L31" s="5">
        <v>45439</v>
      </c>
      <c r="R31" s="2" t="s">
        <v>688</v>
      </c>
    </row>
    <row r="32" spans="1:18" x14ac:dyDescent="0.25">
      <c r="A32" s="4">
        <v>31</v>
      </c>
      <c r="B32" s="4">
        <v>70857975</v>
      </c>
      <c r="C32" s="4" t="s">
        <v>335</v>
      </c>
      <c r="D32" s="4" t="s">
        <v>657</v>
      </c>
      <c r="E32" s="4" t="s">
        <v>650</v>
      </c>
      <c r="F32" s="4" t="s">
        <v>657</v>
      </c>
      <c r="G32" s="4" t="s">
        <v>664</v>
      </c>
      <c r="H32" s="16"/>
      <c r="I32" s="4" t="s">
        <v>558</v>
      </c>
      <c r="J32" s="4" t="s">
        <v>553</v>
      </c>
      <c r="K32" s="12"/>
      <c r="L32" s="12"/>
      <c r="R32" s="2" t="s">
        <v>688</v>
      </c>
    </row>
    <row r="33" spans="1:18" x14ac:dyDescent="0.25">
      <c r="A33" s="4">
        <v>32</v>
      </c>
      <c r="B33" s="4">
        <v>70818052</v>
      </c>
      <c r="C33" s="4" t="s">
        <v>337</v>
      </c>
      <c r="D33" s="4" t="s">
        <v>14</v>
      </c>
      <c r="E33" s="4" t="s">
        <v>374</v>
      </c>
      <c r="F33" s="4" t="s">
        <v>14</v>
      </c>
      <c r="G33" s="4" t="s">
        <v>373</v>
      </c>
      <c r="H33" s="4" t="s">
        <v>496</v>
      </c>
      <c r="I33" s="4" t="s">
        <v>559</v>
      </c>
      <c r="J33" s="4" t="s">
        <v>553</v>
      </c>
      <c r="R33" s="2" t="s">
        <v>689</v>
      </c>
    </row>
    <row r="34" spans="1:18" x14ac:dyDescent="0.25">
      <c r="A34" s="4">
        <v>33</v>
      </c>
      <c r="B34" s="4">
        <v>70817984</v>
      </c>
      <c r="C34" s="4" t="s">
        <v>337</v>
      </c>
      <c r="D34" s="4" t="s">
        <v>25</v>
      </c>
      <c r="E34" s="4" t="s">
        <v>24</v>
      </c>
      <c r="F34" s="4" t="s">
        <v>25</v>
      </c>
      <c r="G34" s="4" t="s">
        <v>26</v>
      </c>
      <c r="H34" s="4" t="s">
        <v>544</v>
      </c>
      <c r="I34" s="4" t="s">
        <v>559</v>
      </c>
      <c r="J34" s="4" t="s">
        <v>553</v>
      </c>
      <c r="R34" s="2" t="s">
        <v>689</v>
      </c>
    </row>
    <row r="35" spans="1:18" x14ac:dyDescent="0.25">
      <c r="A35" s="4">
        <v>34</v>
      </c>
      <c r="B35" s="4">
        <v>70817999</v>
      </c>
      <c r="C35" s="4" t="s">
        <v>337</v>
      </c>
      <c r="D35" s="4" t="s">
        <v>28</v>
      </c>
      <c r="E35" s="4" t="s">
        <v>27</v>
      </c>
      <c r="F35" s="4" t="s">
        <v>28</v>
      </c>
      <c r="G35" s="4" t="s">
        <v>29</v>
      </c>
      <c r="H35" s="4" t="s">
        <v>575</v>
      </c>
      <c r="I35" s="4" t="s">
        <v>559</v>
      </c>
      <c r="J35" s="4" t="s">
        <v>635</v>
      </c>
      <c r="K35" s="15">
        <v>45915</v>
      </c>
      <c r="R35" s="2" t="s">
        <v>689</v>
      </c>
    </row>
    <row r="36" spans="1:18" x14ac:dyDescent="0.25">
      <c r="A36" s="4">
        <v>35</v>
      </c>
      <c r="B36" s="4">
        <v>70817997</v>
      </c>
      <c r="C36" s="4" t="s">
        <v>337</v>
      </c>
      <c r="D36" s="4" t="s">
        <v>40</v>
      </c>
      <c r="E36" s="4" t="s">
        <v>39</v>
      </c>
      <c r="F36" s="4" t="s">
        <v>40</v>
      </c>
      <c r="G36" s="4" t="s">
        <v>41</v>
      </c>
      <c r="H36" s="4" t="s">
        <v>522</v>
      </c>
      <c r="I36" s="4" t="s">
        <v>559</v>
      </c>
      <c r="J36" s="4" t="s">
        <v>553</v>
      </c>
      <c r="R36" s="2" t="s">
        <v>689</v>
      </c>
    </row>
    <row r="37" spans="1:18" x14ac:dyDescent="0.25">
      <c r="A37" s="4">
        <v>36</v>
      </c>
      <c r="B37" s="4">
        <v>70818078</v>
      </c>
      <c r="C37" s="4" t="s">
        <v>337</v>
      </c>
      <c r="D37" s="4" t="s">
        <v>46</v>
      </c>
      <c r="E37" s="4" t="s">
        <v>45</v>
      </c>
      <c r="F37" s="4" t="s">
        <v>46</v>
      </c>
      <c r="G37" s="4" t="s">
        <v>47</v>
      </c>
      <c r="H37" s="4" t="s">
        <v>473</v>
      </c>
      <c r="I37" s="4" t="s">
        <v>559</v>
      </c>
      <c r="J37" s="4" t="s">
        <v>553</v>
      </c>
      <c r="R37" s="2" t="s">
        <v>689</v>
      </c>
    </row>
    <row r="38" spans="1:18" x14ac:dyDescent="0.25">
      <c r="A38" s="4">
        <v>37</v>
      </c>
      <c r="B38" s="4">
        <v>70818030</v>
      </c>
      <c r="C38" s="4" t="s">
        <v>337</v>
      </c>
      <c r="D38" s="4" t="s">
        <v>52</v>
      </c>
      <c r="E38" s="4" t="s">
        <v>468</v>
      </c>
      <c r="F38" s="4" t="s">
        <v>52</v>
      </c>
      <c r="G38" s="4" t="s">
        <v>53</v>
      </c>
      <c r="H38" s="4" t="s">
        <v>603</v>
      </c>
      <c r="I38" s="4" t="s">
        <v>559</v>
      </c>
      <c r="J38" s="4" t="s">
        <v>553</v>
      </c>
      <c r="R38" s="2" t="s">
        <v>689</v>
      </c>
    </row>
    <row r="39" spans="1:18" x14ac:dyDescent="0.25">
      <c r="A39" s="4">
        <v>38</v>
      </c>
      <c r="B39" s="4">
        <v>70818013</v>
      </c>
      <c r="C39" s="4" t="s">
        <v>337</v>
      </c>
      <c r="D39" s="4" t="s">
        <v>54</v>
      </c>
      <c r="E39" s="4" t="s">
        <v>469</v>
      </c>
      <c r="F39" s="4" t="s">
        <v>54</v>
      </c>
      <c r="G39" s="4" t="s">
        <v>55</v>
      </c>
      <c r="H39" s="4" t="s">
        <v>545</v>
      </c>
      <c r="I39" s="4" t="s">
        <v>559</v>
      </c>
      <c r="J39" s="4" t="s">
        <v>553</v>
      </c>
      <c r="R39" s="2" t="s">
        <v>689</v>
      </c>
    </row>
    <row r="40" spans="1:18" x14ac:dyDescent="0.25">
      <c r="A40" s="4">
        <v>39</v>
      </c>
      <c r="B40" s="4">
        <v>70818015</v>
      </c>
      <c r="C40" s="4" t="s">
        <v>337</v>
      </c>
      <c r="D40" s="4" t="s">
        <v>60</v>
      </c>
      <c r="E40" s="4" t="s">
        <v>59</v>
      </c>
      <c r="F40" s="4" t="s">
        <v>60</v>
      </c>
      <c r="G40" s="4" t="s">
        <v>61</v>
      </c>
      <c r="H40" s="4" t="s">
        <v>406</v>
      </c>
      <c r="I40" s="4" t="s">
        <v>559</v>
      </c>
      <c r="J40" s="4" t="s">
        <v>180</v>
      </c>
      <c r="R40" s="2" t="s">
        <v>689</v>
      </c>
    </row>
    <row r="41" spans="1:18" x14ac:dyDescent="0.25">
      <c r="A41" s="4">
        <v>40</v>
      </c>
      <c r="B41" s="4">
        <v>70818033</v>
      </c>
      <c r="C41" s="4" t="s">
        <v>337</v>
      </c>
      <c r="D41" s="4" t="s">
        <v>376</v>
      </c>
      <c r="E41" s="4" t="s">
        <v>391</v>
      </c>
      <c r="F41" s="4" t="s">
        <v>376</v>
      </c>
      <c r="G41" s="4" t="s">
        <v>377</v>
      </c>
      <c r="H41" s="4" t="s">
        <v>408</v>
      </c>
      <c r="I41" s="4" t="s">
        <v>559</v>
      </c>
      <c r="J41" s="4" t="s">
        <v>180</v>
      </c>
      <c r="R41" s="2" t="s">
        <v>689</v>
      </c>
    </row>
    <row r="42" spans="1:18" x14ac:dyDescent="0.25">
      <c r="A42" s="4">
        <v>41</v>
      </c>
      <c r="B42" s="4">
        <v>70817998</v>
      </c>
      <c r="C42" s="4" t="s">
        <v>337</v>
      </c>
      <c r="D42" s="4" t="s">
        <v>80</v>
      </c>
      <c r="E42" s="4" t="s">
        <v>79</v>
      </c>
      <c r="F42" s="4" t="s">
        <v>80</v>
      </c>
      <c r="G42" s="4" t="s">
        <v>81</v>
      </c>
      <c r="H42" s="4" t="s">
        <v>576</v>
      </c>
      <c r="I42" s="4" t="s">
        <v>559</v>
      </c>
      <c r="J42" s="4" t="s">
        <v>553</v>
      </c>
      <c r="R42" s="2" t="s">
        <v>689</v>
      </c>
    </row>
    <row r="43" spans="1:18" x14ac:dyDescent="0.25">
      <c r="A43" s="4">
        <v>42</v>
      </c>
      <c r="B43" s="4">
        <v>70818006</v>
      </c>
      <c r="C43" s="4" t="s">
        <v>337</v>
      </c>
      <c r="D43" s="4" t="s">
        <v>83</v>
      </c>
      <c r="E43" s="4" t="s">
        <v>82</v>
      </c>
      <c r="F43" s="4" t="s">
        <v>83</v>
      </c>
      <c r="G43" s="4" t="s">
        <v>84</v>
      </c>
      <c r="H43" s="4" t="s">
        <v>541</v>
      </c>
      <c r="I43" s="4" t="s">
        <v>559</v>
      </c>
      <c r="J43" s="4" t="s">
        <v>553</v>
      </c>
      <c r="R43" s="2" t="s">
        <v>689</v>
      </c>
    </row>
    <row r="44" spans="1:18" x14ac:dyDescent="0.25">
      <c r="A44" s="4">
        <v>43</v>
      </c>
      <c r="B44" s="4">
        <v>70817987</v>
      </c>
      <c r="C44" s="4" t="s">
        <v>337</v>
      </c>
      <c r="D44" s="4" t="s">
        <v>86</v>
      </c>
      <c r="E44" s="4" t="s">
        <v>85</v>
      </c>
      <c r="F44" s="4" t="s">
        <v>86</v>
      </c>
      <c r="G44" s="4" t="s">
        <v>87</v>
      </c>
      <c r="H44" s="4" t="s">
        <v>577</v>
      </c>
      <c r="I44" s="4" t="s">
        <v>559</v>
      </c>
      <c r="J44" s="4" t="s">
        <v>553</v>
      </c>
      <c r="R44" s="2" t="s">
        <v>689</v>
      </c>
    </row>
    <row r="45" spans="1:18" x14ac:dyDescent="0.25">
      <c r="A45" s="4">
        <v>44</v>
      </c>
      <c r="B45" s="4">
        <v>70847345</v>
      </c>
      <c r="C45" s="4" t="s">
        <v>337</v>
      </c>
      <c r="D45" s="4" t="s">
        <v>421</v>
      </c>
      <c r="E45" s="4" t="s">
        <v>423</v>
      </c>
      <c r="F45" s="4" t="s">
        <v>421</v>
      </c>
      <c r="G45" s="4" t="s">
        <v>425</v>
      </c>
      <c r="H45" s="4" t="s">
        <v>547</v>
      </c>
      <c r="I45" s="4" t="s">
        <v>559</v>
      </c>
      <c r="J45" s="4" t="s">
        <v>553</v>
      </c>
      <c r="R45" s="2" t="s">
        <v>689</v>
      </c>
    </row>
    <row r="46" spans="1:18" x14ac:dyDescent="0.25">
      <c r="A46" s="4">
        <v>45</v>
      </c>
      <c r="B46" s="4">
        <v>70847367</v>
      </c>
      <c r="C46" s="4" t="s">
        <v>337</v>
      </c>
      <c r="D46" s="4" t="s">
        <v>422</v>
      </c>
      <c r="E46" s="4" t="s">
        <v>424</v>
      </c>
      <c r="F46" s="4" t="s">
        <v>422</v>
      </c>
      <c r="G46" s="4" t="s">
        <v>426</v>
      </c>
      <c r="H46" s="4" t="s">
        <v>495</v>
      </c>
      <c r="I46" s="4" t="s">
        <v>559</v>
      </c>
      <c r="J46" s="4" t="s">
        <v>553</v>
      </c>
      <c r="R46" s="2" t="s">
        <v>689</v>
      </c>
    </row>
    <row r="47" spans="1:18" x14ac:dyDescent="0.25">
      <c r="A47" s="4">
        <v>46</v>
      </c>
      <c r="B47" s="4">
        <v>70848175</v>
      </c>
      <c r="C47" s="4" t="s">
        <v>337</v>
      </c>
      <c r="D47" s="4" t="s">
        <v>439</v>
      </c>
      <c r="E47" s="4" t="s">
        <v>59</v>
      </c>
      <c r="F47" s="4" t="s">
        <v>439</v>
      </c>
      <c r="G47" s="4" t="s">
        <v>61</v>
      </c>
      <c r="H47" s="4" t="s">
        <v>406</v>
      </c>
      <c r="I47" s="4" t="s">
        <v>559</v>
      </c>
      <c r="J47" s="4" t="s">
        <v>553</v>
      </c>
      <c r="R47" s="2" t="s">
        <v>689</v>
      </c>
    </row>
    <row r="48" spans="1:18" x14ac:dyDescent="0.25">
      <c r="A48" s="4">
        <v>47</v>
      </c>
      <c r="B48" s="4">
        <v>70848005</v>
      </c>
      <c r="C48" s="4" t="s">
        <v>540</v>
      </c>
      <c r="D48" s="4" t="s">
        <v>433</v>
      </c>
      <c r="E48" s="4" t="s">
        <v>434</v>
      </c>
      <c r="F48" s="4" t="s">
        <v>433</v>
      </c>
      <c r="G48" s="4" t="s">
        <v>436</v>
      </c>
      <c r="H48" s="4" t="s">
        <v>594</v>
      </c>
      <c r="I48" s="4" t="s">
        <v>402</v>
      </c>
      <c r="J48" s="4" t="s">
        <v>553</v>
      </c>
      <c r="K48" s="2" t="s">
        <v>392</v>
      </c>
      <c r="L48" s="5">
        <v>45124</v>
      </c>
      <c r="R48" s="2" t="s">
        <v>690</v>
      </c>
    </row>
    <row r="49" spans="1:18" x14ac:dyDescent="0.25">
      <c r="A49" s="4">
        <v>48</v>
      </c>
      <c r="B49" s="4">
        <v>70817989</v>
      </c>
      <c r="C49" s="4" t="s">
        <v>540</v>
      </c>
      <c r="D49" s="4" t="s">
        <v>16</v>
      </c>
      <c r="E49" s="4" t="s">
        <v>15</v>
      </c>
      <c r="F49" s="4" t="s">
        <v>16</v>
      </c>
      <c r="G49" s="4" t="s">
        <v>17</v>
      </c>
      <c r="H49" s="4" t="s">
        <v>599</v>
      </c>
      <c r="I49" s="4" t="s">
        <v>402</v>
      </c>
      <c r="J49" s="4" t="s">
        <v>553</v>
      </c>
      <c r="R49" s="2" t="s">
        <v>690</v>
      </c>
    </row>
    <row r="50" spans="1:18" x14ac:dyDescent="0.25">
      <c r="A50" s="4">
        <v>49</v>
      </c>
      <c r="B50" s="4">
        <v>70817988</v>
      </c>
      <c r="C50" s="4" t="s">
        <v>540</v>
      </c>
      <c r="D50" s="4" t="s">
        <v>22</v>
      </c>
      <c r="E50" s="4" t="s">
        <v>21</v>
      </c>
      <c r="F50" s="4" t="s">
        <v>22</v>
      </c>
      <c r="G50" s="4" t="s">
        <v>23</v>
      </c>
      <c r="H50" s="4" t="s">
        <v>600</v>
      </c>
      <c r="I50" s="4" t="s">
        <v>402</v>
      </c>
      <c r="J50" s="4" t="s">
        <v>553</v>
      </c>
      <c r="R50" s="2" t="s">
        <v>690</v>
      </c>
    </row>
    <row r="51" spans="1:18" x14ac:dyDescent="0.25">
      <c r="A51" s="4">
        <v>50</v>
      </c>
      <c r="B51" s="4">
        <v>70818018</v>
      </c>
      <c r="C51" s="4" t="s">
        <v>540</v>
      </c>
      <c r="D51" s="4" t="s">
        <v>43</v>
      </c>
      <c r="E51" s="4" t="s">
        <v>42</v>
      </c>
      <c r="F51" s="4" t="s">
        <v>43</v>
      </c>
      <c r="G51" s="4" t="s">
        <v>44</v>
      </c>
      <c r="H51" s="4" t="s">
        <v>601</v>
      </c>
      <c r="I51" s="4" t="s">
        <v>402</v>
      </c>
      <c r="J51" s="4" t="s">
        <v>553</v>
      </c>
      <c r="R51" s="2" t="s">
        <v>690</v>
      </c>
    </row>
    <row r="52" spans="1:18" x14ac:dyDescent="0.25">
      <c r="A52" s="4">
        <v>51</v>
      </c>
      <c r="B52" s="4">
        <v>70818022</v>
      </c>
      <c r="C52" s="4" t="s">
        <v>540</v>
      </c>
      <c r="D52" s="4" t="s">
        <v>57</v>
      </c>
      <c r="E52" s="4" t="s">
        <v>56</v>
      </c>
      <c r="F52" s="4" t="s">
        <v>57</v>
      </c>
      <c r="G52" s="4" t="s">
        <v>58</v>
      </c>
      <c r="H52" s="4" t="s">
        <v>602</v>
      </c>
      <c r="I52" s="4" t="s">
        <v>402</v>
      </c>
      <c r="J52" s="4" t="s">
        <v>553</v>
      </c>
      <c r="R52" s="2" t="s">
        <v>690</v>
      </c>
    </row>
    <row r="53" spans="1:18" x14ac:dyDescent="0.25">
      <c r="A53" s="4">
        <v>52</v>
      </c>
      <c r="B53" s="4">
        <v>70833319</v>
      </c>
      <c r="C53" s="4" t="s">
        <v>540</v>
      </c>
      <c r="D53" s="4" t="s">
        <v>128</v>
      </c>
      <c r="E53" s="4" t="s">
        <v>127</v>
      </c>
      <c r="F53" s="4" t="s">
        <v>128</v>
      </c>
      <c r="G53" s="4" t="s">
        <v>129</v>
      </c>
      <c r="H53" s="4" t="s">
        <v>571</v>
      </c>
      <c r="I53" s="4" t="s">
        <v>402</v>
      </c>
      <c r="J53" s="4" t="s">
        <v>553</v>
      </c>
      <c r="R53" s="2" t="s">
        <v>690</v>
      </c>
    </row>
    <row r="54" spans="1:18" x14ac:dyDescent="0.25">
      <c r="A54" s="4">
        <v>53</v>
      </c>
      <c r="B54" s="4">
        <v>70857973</v>
      </c>
      <c r="C54" s="4" t="s">
        <v>540</v>
      </c>
      <c r="D54" s="4" t="s">
        <v>658</v>
      </c>
      <c r="E54" s="4" t="s">
        <v>651</v>
      </c>
      <c r="F54" s="4" t="s">
        <v>658</v>
      </c>
      <c r="G54" s="4" t="s">
        <v>665</v>
      </c>
      <c r="H54" s="4"/>
      <c r="I54" s="4" t="s">
        <v>560</v>
      </c>
      <c r="J54" s="4" t="s">
        <v>553</v>
      </c>
      <c r="R54" s="2" t="s">
        <v>690</v>
      </c>
    </row>
    <row r="55" spans="1:18" x14ac:dyDescent="0.25">
      <c r="A55" s="4">
        <v>54</v>
      </c>
      <c r="B55" s="4">
        <v>70857977</v>
      </c>
      <c r="C55" s="4" t="s">
        <v>540</v>
      </c>
      <c r="D55" s="4" t="s">
        <v>659</v>
      </c>
      <c r="E55" s="4" t="s">
        <v>652</v>
      </c>
      <c r="F55" s="4" t="s">
        <v>659</v>
      </c>
      <c r="G55" s="4" t="s">
        <v>666</v>
      </c>
      <c r="H55" s="4"/>
      <c r="I55" s="4" t="s">
        <v>560</v>
      </c>
      <c r="J55" s="4" t="s">
        <v>553</v>
      </c>
      <c r="R55" s="2" t="s">
        <v>690</v>
      </c>
    </row>
    <row r="56" spans="1:18" ht="45" x14ac:dyDescent="0.25">
      <c r="A56" s="4">
        <v>55</v>
      </c>
      <c r="B56" s="4">
        <v>70818032</v>
      </c>
      <c r="C56" s="4" t="s">
        <v>540</v>
      </c>
      <c r="D56" s="4" t="s">
        <v>65</v>
      </c>
      <c r="E56" s="4" t="s">
        <v>470</v>
      </c>
      <c r="F56" s="4" t="s">
        <v>65</v>
      </c>
      <c r="G56" s="4" t="s">
        <v>66</v>
      </c>
      <c r="H56" s="14" t="s">
        <v>595</v>
      </c>
      <c r="I56" s="4" t="s">
        <v>560</v>
      </c>
      <c r="J56" s="4" t="s">
        <v>553</v>
      </c>
      <c r="R56" s="2" t="s">
        <v>690</v>
      </c>
    </row>
    <row r="57" spans="1:18" x14ac:dyDescent="0.25">
      <c r="A57" s="4">
        <v>56</v>
      </c>
      <c r="B57" s="4">
        <v>70817986</v>
      </c>
      <c r="C57" s="4" t="s">
        <v>540</v>
      </c>
      <c r="D57" s="4" t="s">
        <v>74</v>
      </c>
      <c r="E57" s="4" t="s">
        <v>73</v>
      </c>
      <c r="F57" s="4" t="s">
        <v>74</v>
      </c>
      <c r="G57" s="4" t="s">
        <v>75</v>
      </c>
      <c r="H57" s="4" t="s">
        <v>596</v>
      </c>
      <c r="I57" s="4" t="s">
        <v>560</v>
      </c>
      <c r="J57" s="4" t="s">
        <v>553</v>
      </c>
      <c r="R57" s="2" t="s">
        <v>690</v>
      </c>
    </row>
    <row r="58" spans="1:18" x14ac:dyDescent="0.25">
      <c r="A58" s="4">
        <v>57</v>
      </c>
      <c r="B58" s="4">
        <v>70818045</v>
      </c>
      <c r="C58" s="4" t="s">
        <v>540</v>
      </c>
      <c r="D58" s="4" t="s">
        <v>89</v>
      </c>
      <c r="E58" s="4" t="s">
        <v>88</v>
      </c>
      <c r="F58" s="4" t="s">
        <v>89</v>
      </c>
      <c r="G58" s="4" t="s">
        <v>90</v>
      </c>
      <c r="H58" s="4" t="s">
        <v>597</v>
      </c>
      <c r="I58" s="4" t="s">
        <v>560</v>
      </c>
      <c r="J58" s="4" t="s">
        <v>553</v>
      </c>
      <c r="R58" s="2" t="s">
        <v>690</v>
      </c>
    </row>
    <row r="59" spans="1:18" x14ac:dyDescent="0.25">
      <c r="A59" s="4">
        <v>58</v>
      </c>
      <c r="B59" s="4">
        <v>70818050</v>
      </c>
      <c r="C59" s="4" t="s">
        <v>540</v>
      </c>
      <c r="D59" s="4" t="s">
        <v>92</v>
      </c>
      <c r="E59" s="4" t="s">
        <v>91</v>
      </c>
      <c r="F59" s="4" t="s">
        <v>92</v>
      </c>
      <c r="G59" s="4" t="s">
        <v>93</v>
      </c>
      <c r="H59" s="4" t="s">
        <v>598</v>
      </c>
      <c r="I59" s="4" t="s">
        <v>560</v>
      </c>
      <c r="J59" s="4" t="s">
        <v>553</v>
      </c>
      <c r="R59" s="2" t="s">
        <v>690</v>
      </c>
    </row>
    <row r="60" spans="1:18" x14ac:dyDescent="0.25">
      <c r="A60" s="4">
        <v>59</v>
      </c>
      <c r="B60" s="4">
        <v>70817990</v>
      </c>
      <c r="C60" s="4" t="s">
        <v>336</v>
      </c>
      <c r="D60" s="4" t="s">
        <v>19</v>
      </c>
      <c r="E60" s="4" t="s">
        <v>18</v>
      </c>
      <c r="F60" s="4" t="s">
        <v>19</v>
      </c>
      <c r="G60" s="4" t="s">
        <v>20</v>
      </c>
      <c r="H60" s="4" t="s">
        <v>550</v>
      </c>
      <c r="I60" s="4" t="s">
        <v>561</v>
      </c>
      <c r="J60" s="4" t="s">
        <v>553</v>
      </c>
      <c r="R60" s="2" t="s">
        <v>691</v>
      </c>
    </row>
    <row r="61" spans="1:18" x14ac:dyDescent="0.25">
      <c r="A61" s="4">
        <v>60</v>
      </c>
      <c r="B61" s="4">
        <v>70818004</v>
      </c>
      <c r="C61" s="4" t="s">
        <v>336</v>
      </c>
      <c r="D61" s="4" t="s">
        <v>31</v>
      </c>
      <c r="E61" s="4" t="s">
        <v>30</v>
      </c>
      <c r="F61" s="4" t="s">
        <v>31</v>
      </c>
      <c r="G61" s="4" t="s">
        <v>32</v>
      </c>
      <c r="H61" s="4" t="s">
        <v>604</v>
      </c>
      <c r="I61" s="4" t="s">
        <v>561</v>
      </c>
      <c r="J61" s="4" t="s">
        <v>553</v>
      </c>
      <c r="R61" s="2" t="s">
        <v>691</v>
      </c>
    </row>
    <row r="62" spans="1:18" x14ac:dyDescent="0.25">
      <c r="A62" s="4">
        <v>61</v>
      </c>
      <c r="B62" s="4">
        <v>70818002</v>
      </c>
      <c r="C62" s="4" t="s">
        <v>336</v>
      </c>
      <c r="D62" s="4" t="s">
        <v>34</v>
      </c>
      <c r="E62" s="4" t="s">
        <v>33</v>
      </c>
      <c r="F62" s="4" t="s">
        <v>34</v>
      </c>
      <c r="G62" s="4" t="s">
        <v>35</v>
      </c>
      <c r="H62" s="4" t="s">
        <v>605</v>
      </c>
      <c r="I62" s="4" t="s">
        <v>561</v>
      </c>
      <c r="J62" s="4" t="s">
        <v>553</v>
      </c>
      <c r="R62" s="2" t="s">
        <v>691</v>
      </c>
    </row>
    <row r="63" spans="1:18" x14ac:dyDescent="0.25">
      <c r="A63" s="4">
        <v>62</v>
      </c>
      <c r="B63" s="4">
        <v>70818005</v>
      </c>
      <c r="C63" s="4" t="s">
        <v>336</v>
      </c>
      <c r="D63" s="4" t="s">
        <v>37</v>
      </c>
      <c r="E63" s="4" t="s">
        <v>36</v>
      </c>
      <c r="F63" s="4" t="s">
        <v>37</v>
      </c>
      <c r="G63" s="4" t="s">
        <v>38</v>
      </c>
      <c r="H63" s="4" t="s">
        <v>551</v>
      </c>
      <c r="I63" s="4" t="s">
        <v>561</v>
      </c>
      <c r="J63" s="4" t="s">
        <v>553</v>
      </c>
      <c r="R63" s="2" t="s">
        <v>691</v>
      </c>
    </row>
    <row r="64" spans="1:18" x14ac:dyDescent="0.25">
      <c r="A64" s="4">
        <v>63</v>
      </c>
      <c r="B64" s="4">
        <v>70818017</v>
      </c>
      <c r="C64" s="4" t="s">
        <v>336</v>
      </c>
      <c r="D64" s="4" t="s">
        <v>51</v>
      </c>
      <c r="E64" s="4" t="s">
        <v>471</v>
      </c>
      <c r="F64" s="4" t="s">
        <v>51</v>
      </c>
      <c r="G64" s="4" t="s">
        <v>375</v>
      </c>
      <c r="H64" s="4" t="s">
        <v>409</v>
      </c>
      <c r="I64" s="4" t="s">
        <v>561</v>
      </c>
      <c r="J64" s="4" t="s">
        <v>180</v>
      </c>
      <c r="R64" s="2" t="s">
        <v>691</v>
      </c>
    </row>
    <row r="65" spans="1:18" x14ac:dyDescent="0.25">
      <c r="A65" s="4">
        <v>64</v>
      </c>
      <c r="B65" s="4">
        <v>70818021</v>
      </c>
      <c r="C65" s="4" t="s">
        <v>336</v>
      </c>
      <c r="D65" s="4" t="s">
        <v>63</v>
      </c>
      <c r="E65" s="4" t="s">
        <v>62</v>
      </c>
      <c r="F65" s="4" t="s">
        <v>63</v>
      </c>
      <c r="G65" s="4" t="s">
        <v>64</v>
      </c>
      <c r="H65" s="4" t="s">
        <v>606</v>
      </c>
      <c r="I65" s="4" t="s">
        <v>561</v>
      </c>
      <c r="J65" s="4" t="s">
        <v>553</v>
      </c>
      <c r="R65" s="2" t="s">
        <v>691</v>
      </c>
    </row>
    <row r="66" spans="1:18" x14ac:dyDescent="0.25">
      <c r="A66" s="4">
        <v>65</v>
      </c>
      <c r="B66" s="4">
        <v>70818029</v>
      </c>
      <c r="C66" s="4" t="s">
        <v>336</v>
      </c>
      <c r="D66" s="4" t="s">
        <v>68</v>
      </c>
      <c r="E66" s="4" t="s">
        <v>67</v>
      </c>
      <c r="F66" s="4" t="s">
        <v>68</v>
      </c>
      <c r="G66" s="4" t="s">
        <v>69</v>
      </c>
      <c r="H66" s="4" t="s">
        <v>409</v>
      </c>
      <c r="I66" s="4" t="s">
        <v>561</v>
      </c>
      <c r="J66" s="4" t="s">
        <v>180</v>
      </c>
      <c r="K66" s="5">
        <v>45035</v>
      </c>
      <c r="R66" s="2" t="s">
        <v>691</v>
      </c>
    </row>
    <row r="67" spans="1:18" x14ac:dyDescent="0.25">
      <c r="A67" s="4">
        <v>66</v>
      </c>
      <c r="B67" s="4">
        <v>70818070</v>
      </c>
      <c r="C67" s="4" t="s">
        <v>336</v>
      </c>
      <c r="D67" s="4" t="s">
        <v>122</v>
      </c>
      <c r="E67" s="4" t="s">
        <v>121</v>
      </c>
      <c r="F67" s="4" t="s">
        <v>122</v>
      </c>
      <c r="G67" s="4" t="s">
        <v>123</v>
      </c>
      <c r="H67" s="4" t="s">
        <v>607</v>
      </c>
      <c r="I67" s="4" t="s">
        <v>561</v>
      </c>
      <c r="J67" s="4" t="s">
        <v>553</v>
      </c>
      <c r="R67" s="2" t="s">
        <v>691</v>
      </c>
    </row>
    <row r="68" spans="1:18" x14ac:dyDescent="0.25">
      <c r="A68" s="4">
        <v>67</v>
      </c>
      <c r="B68" s="4">
        <v>70818071</v>
      </c>
      <c r="C68" s="4" t="s">
        <v>336</v>
      </c>
      <c r="D68" s="4" t="s">
        <v>125</v>
      </c>
      <c r="E68" s="4" t="s">
        <v>124</v>
      </c>
      <c r="F68" s="4" t="s">
        <v>125</v>
      </c>
      <c r="G68" s="4" t="s">
        <v>126</v>
      </c>
      <c r="H68" s="4" t="s">
        <v>608</v>
      </c>
      <c r="I68" s="4" t="s">
        <v>561</v>
      </c>
      <c r="J68" s="4" t="s">
        <v>553</v>
      </c>
      <c r="R68" s="2" t="s">
        <v>691</v>
      </c>
    </row>
    <row r="69" spans="1:18" x14ac:dyDescent="0.25">
      <c r="A69" s="4">
        <v>68</v>
      </c>
      <c r="B69" s="4">
        <v>70818072</v>
      </c>
      <c r="C69" s="4" t="s">
        <v>336</v>
      </c>
      <c r="D69" s="4" t="s">
        <v>7</v>
      </c>
      <c r="E69" s="4" t="s">
        <v>379</v>
      </c>
      <c r="F69" s="4" t="s">
        <v>7</v>
      </c>
      <c r="G69" s="4" t="s">
        <v>378</v>
      </c>
      <c r="H69" s="4" t="s">
        <v>609</v>
      </c>
      <c r="I69" s="4" t="s">
        <v>561</v>
      </c>
      <c r="J69" s="4" t="s">
        <v>553</v>
      </c>
      <c r="R69" s="2" t="s">
        <v>691</v>
      </c>
    </row>
    <row r="70" spans="1:18" x14ac:dyDescent="0.25">
      <c r="A70" s="4">
        <v>69</v>
      </c>
      <c r="B70" s="4">
        <v>70818064</v>
      </c>
      <c r="C70" s="4" t="s">
        <v>336</v>
      </c>
      <c r="D70" s="4" t="s">
        <v>8</v>
      </c>
      <c r="E70" s="4" t="s">
        <v>381</v>
      </c>
      <c r="F70" s="4" t="s">
        <v>8</v>
      </c>
      <c r="G70" s="4" t="s">
        <v>380</v>
      </c>
      <c r="H70" s="4" t="s">
        <v>472</v>
      </c>
      <c r="I70" s="4" t="s">
        <v>561</v>
      </c>
      <c r="J70" s="4" t="s">
        <v>553</v>
      </c>
      <c r="R70" s="2" t="s">
        <v>691</v>
      </c>
    </row>
    <row r="71" spans="1:18" x14ac:dyDescent="0.25">
      <c r="A71" s="4">
        <v>70</v>
      </c>
      <c r="B71" s="4">
        <v>70818065</v>
      </c>
      <c r="C71" s="4" t="s">
        <v>336</v>
      </c>
      <c r="D71" s="4" t="s">
        <v>9</v>
      </c>
      <c r="E71" s="4" t="s">
        <v>382</v>
      </c>
      <c r="F71" s="4" t="s">
        <v>9</v>
      </c>
      <c r="G71" s="4" t="s">
        <v>382</v>
      </c>
      <c r="H71" s="4" t="s">
        <v>610</v>
      </c>
      <c r="I71" s="4" t="s">
        <v>561</v>
      </c>
      <c r="J71" s="4" t="s">
        <v>553</v>
      </c>
      <c r="R71" s="2" t="s">
        <v>691</v>
      </c>
    </row>
    <row r="72" spans="1:18" x14ac:dyDescent="0.25">
      <c r="A72" s="4">
        <v>71</v>
      </c>
      <c r="B72" s="4">
        <v>70857979</v>
      </c>
      <c r="C72" s="4" t="s">
        <v>336</v>
      </c>
      <c r="D72" s="4" t="s">
        <v>661</v>
      </c>
      <c r="E72" s="4" t="s">
        <v>654</v>
      </c>
      <c r="F72" s="4" t="s">
        <v>661</v>
      </c>
      <c r="G72" s="4" t="s">
        <v>668</v>
      </c>
      <c r="H72" s="16"/>
      <c r="I72" s="4" t="s">
        <v>561</v>
      </c>
      <c r="J72" s="4" t="s">
        <v>553</v>
      </c>
      <c r="K72" s="12"/>
      <c r="R72" s="2" t="s">
        <v>691</v>
      </c>
    </row>
    <row r="73" spans="1:18" x14ac:dyDescent="0.25">
      <c r="A73" s="4">
        <v>72</v>
      </c>
      <c r="B73" s="4">
        <v>70857978</v>
      </c>
      <c r="C73" s="4" t="s">
        <v>336</v>
      </c>
      <c r="D73" s="4" t="s">
        <v>662</v>
      </c>
      <c r="E73" s="4" t="s">
        <v>655</v>
      </c>
      <c r="F73" s="4" t="s">
        <v>662</v>
      </c>
      <c r="G73" s="4" t="s">
        <v>669</v>
      </c>
      <c r="H73" s="4"/>
      <c r="I73" s="4" t="s">
        <v>561</v>
      </c>
      <c r="J73" s="4" t="s">
        <v>553</v>
      </c>
      <c r="R73" s="2" t="s">
        <v>691</v>
      </c>
    </row>
    <row r="74" spans="1:18" x14ac:dyDescent="0.25">
      <c r="A74" s="4">
        <v>73</v>
      </c>
      <c r="B74" s="4">
        <v>70818049</v>
      </c>
      <c r="C74" s="4" t="s">
        <v>338</v>
      </c>
      <c r="D74" s="4" t="s">
        <v>95</v>
      </c>
      <c r="E74" s="4" t="s">
        <v>94</v>
      </c>
      <c r="F74" s="4" t="s">
        <v>95</v>
      </c>
      <c r="G74" s="4" t="s">
        <v>96</v>
      </c>
      <c r="H74" s="4" t="s">
        <v>585</v>
      </c>
      <c r="I74" s="4" t="s">
        <v>562</v>
      </c>
      <c r="J74" s="4" t="s">
        <v>553</v>
      </c>
      <c r="R74" s="2" t="s">
        <v>692</v>
      </c>
    </row>
    <row r="75" spans="1:18" x14ac:dyDescent="0.25">
      <c r="A75" s="4">
        <v>74</v>
      </c>
      <c r="B75" s="4">
        <v>70818056</v>
      </c>
      <c r="C75" s="4" t="s">
        <v>338</v>
      </c>
      <c r="D75" s="4" t="s">
        <v>98</v>
      </c>
      <c r="E75" s="4" t="s">
        <v>97</v>
      </c>
      <c r="F75" s="4" t="s">
        <v>98</v>
      </c>
      <c r="G75" s="4" t="s">
        <v>99</v>
      </c>
      <c r="H75" s="4" t="s">
        <v>586</v>
      </c>
      <c r="I75" s="4" t="s">
        <v>562</v>
      </c>
      <c r="J75" s="4" t="s">
        <v>553</v>
      </c>
      <c r="R75" s="2" t="s">
        <v>692</v>
      </c>
    </row>
    <row r="76" spans="1:18" x14ac:dyDescent="0.25">
      <c r="A76" s="4">
        <v>75</v>
      </c>
      <c r="B76" s="4">
        <v>70818048</v>
      </c>
      <c r="C76" s="4" t="s">
        <v>338</v>
      </c>
      <c r="D76" s="4" t="s">
        <v>101</v>
      </c>
      <c r="E76" s="4" t="s">
        <v>100</v>
      </c>
      <c r="F76" s="4" t="s">
        <v>101</v>
      </c>
      <c r="G76" s="4" t="s">
        <v>102</v>
      </c>
      <c r="H76" s="4" t="s">
        <v>403</v>
      </c>
      <c r="I76" s="4" t="s">
        <v>562</v>
      </c>
      <c r="J76" s="4" t="s">
        <v>553</v>
      </c>
      <c r="R76" s="2" t="s">
        <v>692</v>
      </c>
    </row>
    <row r="77" spans="1:18" x14ac:dyDescent="0.25">
      <c r="A77" s="4">
        <v>76</v>
      </c>
      <c r="B77" s="4">
        <v>70818047</v>
      </c>
      <c r="C77" s="4" t="s">
        <v>338</v>
      </c>
      <c r="D77" s="4" t="s">
        <v>107</v>
      </c>
      <c r="E77" s="4" t="s">
        <v>106</v>
      </c>
      <c r="F77" s="4" t="s">
        <v>107</v>
      </c>
      <c r="G77" s="4" t="s">
        <v>108</v>
      </c>
      <c r="H77" s="4" t="s">
        <v>587</v>
      </c>
      <c r="I77" s="4" t="s">
        <v>562</v>
      </c>
      <c r="J77" s="4" t="s">
        <v>553</v>
      </c>
      <c r="R77" s="2" t="s">
        <v>692</v>
      </c>
    </row>
    <row r="78" spans="1:18" x14ac:dyDescent="0.25">
      <c r="A78" s="4">
        <v>77</v>
      </c>
      <c r="B78" s="4">
        <v>70818058</v>
      </c>
      <c r="C78" s="4" t="s">
        <v>338</v>
      </c>
      <c r="D78" s="4" t="s">
        <v>110</v>
      </c>
      <c r="E78" s="4" t="s">
        <v>109</v>
      </c>
      <c r="F78" s="4" t="s">
        <v>110</v>
      </c>
      <c r="G78" s="4" t="s">
        <v>111</v>
      </c>
      <c r="H78" s="4" t="s">
        <v>574</v>
      </c>
      <c r="I78" s="4" t="s">
        <v>562</v>
      </c>
      <c r="J78" s="4" t="s">
        <v>553</v>
      </c>
      <c r="R78" s="2" t="s">
        <v>692</v>
      </c>
    </row>
    <row r="79" spans="1:18" x14ac:dyDescent="0.25">
      <c r="A79" s="4">
        <v>78</v>
      </c>
      <c r="B79" s="4">
        <v>70818060</v>
      </c>
      <c r="C79" s="4" t="s">
        <v>338</v>
      </c>
      <c r="D79" s="4" t="s">
        <v>113</v>
      </c>
      <c r="E79" s="4" t="s">
        <v>112</v>
      </c>
      <c r="F79" s="4" t="s">
        <v>113</v>
      </c>
      <c r="G79" s="4" t="s">
        <v>114</v>
      </c>
      <c r="H79" s="4" t="s">
        <v>588</v>
      </c>
      <c r="I79" s="4" t="s">
        <v>562</v>
      </c>
      <c r="J79" s="4" t="s">
        <v>553</v>
      </c>
      <c r="R79" s="2" t="s">
        <v>692</v>
      </c>
    </row>
    <row r="80" spans="1:18" x14ac:dyDescent="0.25">
      <c r="A80" s="4">
        <v>79</v>
      </c>
      <c r="B80" s="4">
        <v>70857976</v>
      </c>
      <c r="C80" s="4" t="s">
        <v>338</v>
      </c>
      <c r="D80" s="4" t="s">
        <v>656</v>
      </c>
      <c r="E80" s="4" t="s">
        <v>649</v>
      </c>
      <c r="F80" s="4" t="s">
        <v>656</v>
      </c>
      <c r="G80" s="4" t="s">
        <v>663</v>
      </c>
      <c r="H80" s="16"/>
      <c r="I80" s="4" t="s">
        <v>562</v>
      </c>
      <c r="J80" s="4" t="s">
        <v>553</v>
      </c>
      <c r="K80" s="12"/>
      <c r="L80" s="12"/>
      <c r="R80" s="2" t="s">
        <v>692</v>
      </c>
    </row>
    <row r="81" spans="1:18" x14ac:dyDescent="0.25">
      <c r="A81" s="4">
        <v>80</v>
      </c>
      <c r="B81" s="4">
        <v>70857974</v>
      </c>
      <c r="C81" s="4" t="s">
        <v>338</v>
      </c>
      <c r="D81" s="4" t="s">
        <v>660</v>
      </c>
      <c r="E81" s="4" t="s">
        <v>653</v>
      </c>
      <c r="F81" s="4" t="s">
        <v>660</v>
      </c>
      <c r="G81" s="4" t="s">
        <v>667</v>
      </c>
      <c r="H81" s="16"/>
      <c r="I81" s="4" t="s">
        <v>562</v>
      </c>
      <c r="J81" s="4" t="s">
        <v>553</v>
      </c>
      <c r="K81" s="12"/>
      <c r="R81" s="2" t="s">
        <v>692</v>
      </c>
    </row>
    <row r="82" spans="1:18" x14ac:dyDescent="0.25">
      <c r="A82" s="4">
        <v>81</v>
      </c>
      <c r="B82" s="4">
        <v>70818057</v>
      </c>
      <c r="C82" s="4" t="s">
        <v>338</v>
      </c>
      <c r="D82" s="4" t="s">
        <v>104</v>
      </c>
      <c r="E82" s="4" t="s">
        <v>103</v>
      </c>
      <c r="F82" s="4" t="s">
        <v>104</v>
      </c>
      <c r="G82" s="4" t="s">
        <v>105</v>
      </c>
      <c r="H82" s="4" t="s">
        <v>405</v>
      </c>
      <c r="I82" s="4" t="s">
        <v>563</v>
      </c>
      <c r="J82" s="4" t="s">
        <v>180</v>
      </c>
      <c r="K82" s="5">
        <v>45162</v>
      </c>
      <c r="R82" s="2" t="s">
        <v>692</v>
      </c>
    </row>
    <row r="83" spans="1:18" x14ac:dyDescent="0.25">
      <c r="A83" s="4">
        <v>82</v>
      </c>
      <c r="B83" s="4">
        <v>70818061</v>
      </c>
      <c r="C83" s="4" t="s">
        <v>338</v>
      </c>
      <c r="D83" s="4" t="s">
        <v>116</v>
      </c>
      <c r="E83" s="4" t="s">
        <v>115</v>
      </c>
      <c r="F83" s="4" t="s">
        <v>116</v>
      </c>
      <c r="G83" s="4" t="s">
        <v>117</v>
      </c>
      <c r="H83" s="4" t="s">
        <v>404</v>
      </c>
      <c r="I83" s="4" t="s">
        <v>563</v>
      </c>
      <c r="J83" s="4" t="s">
        <v>180</v>
      </c>
      <c r="K83" s="5">
        <v>45196</v>
      </c>
      <c r="R83" s="2" t="s">
        <v>692</v>
      </c>
    </row>
    <row r="84" spans="1:18" x14ac:dyDescent="0.25">
      <c r="A84" s="4">
        <v>83</v>
      </c>
      <c r="B84" s="4">
        <v>70818059</v>
      </c>
      <c r="C84" s="4" t="s">
        <v>338</v>
      </c>
      <c r="D84" s="4" t="s">
        <v>119</v>
      </c>
      <c r="E84" s="4" t="s">
        <v>118</v>
      </c>
      <c r="F84" s="4" t="s">
        <v>119</v>
      </c>
      <c r="G84" s="4" t="s">
        <v>120</v>
      </c>
      <c r="H84" s="4" t="s">
        <v>405</v>
      </c>
      <c r="I84" s="4" t="s">
        <v>563</v>
      </c>
      <c r="J84" s="4" t="s">
        <v>180</v>
      </c>
      <c r="R84" s="2" t="s">
        <v>692</v>
      </c>
    </row>
    <row r="85" spans="1:18" x14ac:dyDescent="0.25">
      <c r="A85" s="4">
        <v>84</v>
      </c>
      <c r="B85" s="4">
        <v>70817918</v>
      </c>
      <c r="C85" s="7" t="s">
        <v>130</v>
      </c>
      <c r="D85" s="4" t="s">
        <v>132</v>
      </c>
      <c r="E85" s="7" t="s">
        <v>131</v>
      </c>
      <c r="F85" s="4" t="s">
        <v>132</v>
      </c>
      <c r="G85" s="7" t="s">
        <v>133</v>
      </c>
      <c r="H85" s="7" t="s">
        <v>420</v>
      </c>
      <c r="I85" s="4" t="s">
        <v>564</v>
      </c>
      <c r="J85" s="4" t="s">
        <v>553</v>
      </c>
      <c r="R85" s="2" t="s">
        <v>693</v>
      </c>
    </row>
    <row r="86" spans="1:18" x14ac:dyDescent="0.25">
      <c r="A86" s="4">
        <v>85</v>
      </c>
      <c r="B86" s="4">
        <v>70817921</v>
      </c>
      <c r="C86" s="7" t="s">
        <v>130</v>
      </c>
      <c r="D86" s="4" t="s">
        <v>135</v>
      </c>
      <c r="E86" s="7" t="s">
        <v>134</v>
      </c>
      <c r="F86" s="4" t="s">
        <v>135</v>
      </c>
      <c r="G86" s="7" t="s">
        <v>136</v>
      </c>
      <c r="H86" s="7" t="s">
        <v>420</v>
      </c>
      <c r="I86" s="4" t="s">
        <v>564</v>
      </c>
      <c r="J86" s="4" t="s">
        <v>553</v>
      </c>
      <c r="R86" s="2" t="s">
        <v>693</v>
      </c>
    </row>
    <row r="87" spans="1:18" x14ac:dyDescent="0.25">
      <c r="A87" s="4">
        <v>86</v>
      </c>
      <c r="B87" s="4">
        <v>70817919</v>
      </c>
      <c r="C87" s="7" t="s">
        <v>130</v>
      </c>
      <c r="D87" s="4" t="s">
        <v>138</v>
      </c>
      <c r="E87" s="7" t="s">
        <v>137</v>
      </c>
      <c r="F87" s="4" t="s">
        <v>138</v>
      </c>
      <c r="G87" s="7" t="s">
        <v>139</v>
      </c>
      <c r="H87" s="7" t="s">
        <v>420</v>
      </c>
      <c r="I87" s="4" t="s">
        <v>564</v>
      </c>
      <c r="J87" s="4" t="s">
        <v>553</v>
      </c>
      <c r="R87" s="2" t="s">
        <v>693</v>
      </c>
    </row>
    <row r="88" spans="1:18" x14ac:dyDescent="0.25">
      <c r="A88" s="4">
        <v>87</v>
      </c>
      <c r="B88" s="4">
        <v>70817920</v>
      </c>
      <c r="C88" s="7" t="s">
        <v>130</v>
      </c>
      <c r="D88" s="4" t="s">
        <v>141</v>
      </c>
      <c r="E88" s="7" t="s">
        <v>140</v>
      </c>
      <c r="F88" s="4" t="s">
        <v>141</v>
      </c>
      <c r="G88" s="7" t="s">
        <v>142</v>
      </c>
      <c r="H88" s="7" t="s">
        <v>420</v>
      </c>
      <c r="I88" s="4" t="s">
        <v>564</v>
      </c>
      <c r="J88" s="4" t="s">
        <v>553</v>
      </c>
      <c r="R88" s="2" t="s">
        <v>693</v>
      </c>
    </row>
    <row r="89" spans="1:18" x14ac:dyDescent="0.25">
      <c r="A89" s="4">
        <v>88</v>
      </c>
      <c r="B89" s="4">
        <v>70858024</v>
      </c>
      <c r="C89" s="4" t="s">
        <v>636</v>
      </c>
      <c r="D89" s="4" t="s">
        <v>684</v>
      </c>
      <c r="E89" s="4" t="s">
        <v>640</v>
      </c>
      <c r="F89" s="4" t="s">
        <v>684</v>
      </c>
      <c r="G89" s="4" t="s">
        <v>643</v>
      </c>
      <c r="H89" s="4" t="s">
        <v>648</v>
      </c>
      <c r="I89" s="4" t="s">
        <v>646</v>
      </c>
      <c r="J89" s="4" t="s">
        <v>553</v>
      </c>
      <c r="R89" s="2" t="s">
        <v>701</v>
      </c>
    </row>
    <row r="90" spans="1:18" x14ac:dyDescent="0.25">
      <c r="A90" s="4">
        <v>89</v>
      </c>
      <c r="B90" s="4">
        <v>70858023</v>
      </c>
      <c r="C90" s="4" t="s">
        <v>636</v>
      </c>
      <c r="D90" s="4" t="s">
        <v>685</v>
      </c>
      <c r="E90" s="4" t="s">
        <v>641</v>
      </c>
      <c r="F90" s="4" t="s">
        <v>685</v>
      </c>
      <c r="G90" s="4" t="s">
        <v>644</v>
      </c>
      <c r="H90" s="4" t="s">
        <v>503</v>
      </c>
      <c r="I90" s="4" t="s">
        <v>646</v>
      </c>
      <c r="J90" s="4" t="s">
        <v>553</v>
      </c>
      <c r="R90" s="2" t="s">
        <v>701</v>
      </c>
    </row>
    <row r="91" spans="1:18" x14ac:dyDescent="0.25">
      <c r="A91" s="4">
        <v>90</v>
      </c>
      <c r="B91" s="4">
        <v>70858025</v>
      </c>
      <c r="C91" s="4" t="s">
        <v>636</v>
      </c>
      <c r="D91" s="4" t="s">
        <v>686</v>
      </c>
      <c r="E91" s="4" t="s">
        <v>642</v>
      </c>
      <c r="F91" s="4" t="s">
        <v>686</v>
      </c>
      <c r="G91" s="4" t="s">
        <v>645</v>
      </c>
      <c r="H91" s="4" t="s">
        <v>647</v>
      </c>
      <c r="I91" s="4" t="s">
        <v>646</v>
      </c>
      <c r="J91" s="4" t="s">
        <v>553</v>
      </c>
      <c r="R91" s="2" t="s">
        <v>701</v>
      </c>
    </row>
    <row r="92" spans="1:18" x14ac:dyDescent="0.25">
      <c r="A92" s="4">
        <v>91</v>
      </c>
      <c r="B92" s="4">
        <v>70817970</v>
      </c>
      <c r="C92" s="4" t="s">
        <v>250</v>
      </c>
      <c r="D92" s="4" t="s">
        <v>279</v>
      </c>
      <c r="E92" s="4" t="s">
        <v>278</v>
      </c>
      <c r="F92" s="4" t="s">
        <v>279</v>
      </c>
      <c r="G92" s="4" t="s">
        <v>280</v>
      </c>
      <c r="H92" s="4" t="s">
        <v>572</v>
      </c>
      <c r="I92" s="4" t="s">
        <v>687</v>
      </c>
      <c r="J92" s="4" t="s">
        <v>553</v>
      </c>
      <c r="R92" s="2" t="s">
        <v>694</v>
      </c>
    </row>
    <row r="93" spans="1:18" x14ac:dyDescent="0.25">
      <c r="A93" s="4">
        <v>92</v>
      </c>
      <c r="B93" s="4">
        <v>70817968</v>
      </c>
      <c r="C93" s="4" t="s">
        <v>250</v>
      </c>
      <c r="D93" s="4" t="s">
        <v>287</v>
      </c>
      <c r="E93" s="4" t="s">
        <v>286</v>
      </c>
      <c r="F93" s="4" t="s">
        <v>287</v>
      </c>
      <c r="G93" s="4" t="s">
        <v>288</v>
      </c>
      <c r="H93" s="4" t="s">
        <v>572</v>
      </c>
      <c r="I93" s="4" t="s">
        <v>687</v>
      </c>
      <c r="J93" s="4" t="s">
        <v>553</v>
      </c>
      <c r="R93" s="2" t="s">
        <v>694</v>
      </c>
    </row>
    <row r="94" spans="1:18" x14ac:dyDescent="0.25">
      <c r="A94" s="4">
        <v>93</v>
      </c>
      <c r="B94" s="4">
        <v>70817947</v>
      </c>
      <c r="C94" s="4" t="s">
        <v>250</v>
      </c>
      <c r="D94" s="4" t="s">
        <v>296</v>
      </c>
      <c r="E94" s="6" t="s">
        <v>295</v>
      </c>
      <c r="F94" s="4" t="s">
        <v>296</v>
      </c>
      <c r="G94" s="4" t="s">
        <v>297</v>
      </c>
      <c r="H94" s="4" t="s">
        <v>572</v>
      </c>
      <c r="I94" s="4" t="s">
        <v>687</v>
      </c>
      <c r="J94" s="4" t="s">
        <v>553</v>
      </c>
      <c r="R94" s="2" t="s">
        <v>694</v>
      </c>
    </row>
    <row r="95" spans="1:18" x14ac:dyDescent="0.25">
      <c r="A95" s="4">
        <v>94</v>
      </c>
      <c r="B95" s="4">
        <v>70833339</v>
      </c>
      <c r="C95" s="4" t="s">
        <v>250</v>
      </c>
      <c r="D95" s="4" t="s">
        <v>299</v>
      </c>
      <c r="E95" s="6" t="s">
        <v>298</v>
      </c>
      <c r="F95" s="4" t="s">
        <v>299</v>
      </c>
      <c r="G95" s="4" t="s">
        <v>300</v>
      </c>
      <c r="H95" s="4" t="s">
        <v>572</v>
      </c>
      <c r="I95" s="4" t="s">
        <v>687</v>
      </c>
      <c r="J95" s="4" t="s">
        <v>553</v>
      </c>
      <c r="R95" s="2" t="s">
        <v>694</v>
      </c>
    </row>
    <row r="96" spans="1:18" x14ac:dyDescent="0.25">
      <c r="A96" s="4">
        <v>95</v>
      </c>
      <c r="B96" s="4">
        <v>70846702</v>
      </c>
      <c r="C96" s="4" t="s">
        <v>250</v>
      </c>
      <c r="D96" s="4" t="s">
        <v>343</v>
      </c>
      <c r="E96" s="4" t="s">
        <v>341</v>
      </c>
      <c r="F96" s="4" t="s">
        <v>343</v>
      </c>
      <c r="G96" s="4" t="s">
        <v>342</v>
      </c>
      <c r="H96" s="4" t="s">
        <v>572</v>
      </c>
      <c r="I96" s="4" t="s">
        <v>687</v>
      </c>
      <c r="J96" s="4" t="s">
        <v>553</v>
      </c>
      <c r="K96" s="2" t="s">
        <v>392</v>
      </c>
      <c r="R96" s="2" t="s">
        <v>694</v>
      </c>
    </row>
    <row r="97" spans="1:18" x14ac:dyDescent="0.25">
      <c r="A97" s="4">
        <v>96</v>
      </c>
      <c r="B97" s="4">
        <v>70846706</v>
      </c>
      <c r="C97" s="4" t="s">
        <v>250</v>
      </c>
      <c r="D97" s="4" t="s">
        <v>355</v>
      </c>
      <c r="E97" s="4" t="s">
        <v>354</v>
      </c>
      <c r="F97" s="4" t="s">
        <v>355</v>
      </c>
      <c r="G97" s="4" t="s">
        <v>353</v>
      </c>
      <c r="H97" s="4" t="s">
        <v>572</v>
      </c>
      <c r="I97" s="4" t="s">
        <v>687</v>
      </c>
      <c r="J97" s="4" t="s">
        <v>553</v>
      </c>
      <c r="K97" s="2" t="s">
        <v>392</v>
      </c>
      <c r="R97" s="2" t="s">
        <v>694</v>
      </c>
    </row>
    <row r="98" spans="1:18" x14ac:dyDescent="0.25">
      <c r="A98" s="4">
        <v>97</v>
      </c>
      <c r="B98" s="4">
        <v>70846709</v>
      </c>
      <c r="C98" s="4" t="s">
        <v>250</v>
      </c>
      <c r="D98" s="4" t="s">
        <v>362</v>
      </c>
      <c r="E98" s="4" t="s">
        <v>363</v>
      </c>
      <c r="F98" s="4" t="s">
        <v>362</v>
      </c>
      <c r="G98" s="4" t="s">
        <v>364</v>
      </c>
      <c r="H98" s="4" t="s">
        <v>572</v>
      </c>
      <c r="I98" s="4" t="s">
        <v>687</v>
      </c>
      <c r="J98" s="4" t="s">
        <v>553</v>
      </c>
      <c r="K98" s="2" t="s">
        <v>392</v>
      </c>
      <c r="R98" s="2" t="s">
        <v>694</v>
      </c>
    </row>
    <row r="99" spans="1:18" x14ac:dyDescent="0.25">
      <c r="A99" s="4">
        <v>98</v>
      </c>
      <c r="B99" s="4">
        <v>70846710</v>
      </c>
      <c r="C99" s="4" t="s">
        <v>250</v>
      </c>
      <c r="D99" s="4" t="s">
        <v>366</v>
      </c>
      <c r="E99" s="4" t="s">
        <v>365</v>
      </c>
      <c r="F99" s="4" t="s">
        <v>366</v>
      </c>
      <c r="G99" s="4" t="s">
        <v>365</v>
      </c>
      <c r="H99" s="4" t="s">
        <v>572</v>
      </c>
      <c r="I99" s="4" t="s">
        <v>687</v>
      </c>
      <c r="J99" s="4" t="s">
        <v>553</v>
      </c>
      <c r="K99" s="2" t="s">
        <v>392</v>
      </c>
      <c r="R99" s="2" t="s">
        <v>694</v>
      </c>
    </row>
    <row r="100" spans="1:18" x14ac:dyDescent="0.25">
      <c r="A100" s="4">
        <v>99</v>
      </c>
      <c r="B100" s="4">
        <v>70817956</v>
      </c>
      <c r="C100" s="4" t="s">
        <v>250</v>
      </c>
      <c r="D100" s="4" t="s">
        <v>252</v>
      </c>
      <c r="E100" s="4" t="s">
        <v>251</v>
      </c>
      <c r="F100" s="4" t="s">
        <v>252</v>
      </c>
      <c r="G100" s="4" t="s">
        <v>253</v>
      </c>
      <c r="H100" s="4" t="s">
        <v>572</v>
      </c>
      <c r="I100" s="4" t="s">
        <v>687</v>
      </c>
      <c r="J100" s="4" t="s">
        <v>553</v>
      </c>
      <c r="R100" s="2" t="s">
        <v>694</v>
      </c>
    </row>
    <row r="101" spans="1:18" x14ac:dyDescent="0.25">
      <c r="A101" s="4">
        <v>100</v>
      </c>
      <c r="B101" s="4">
        <v>70817975</v>
      </c>
      <c r="C101" s="4" t="s">
        <v>250</v>
      </c>
      <c r="D101" s="4" t="s">
        <v>255</v>
      </c>
      <c r="E101" s="4" t="s">
        <v>254</v>
      </c>
      <c r="F101" s="4" t="s">
        <v>255</v>
      </c>
      <c r="G101" s="4" t="s">
        <v>256</v>
      </c>
      <c r="H101" s="4" t="s">
        <v>572</v>
      </c>
      <c r="I101" s="4" t="s">
        <v>687</v>
      </c>
      <c r="J101" s="4" t="s">
        <v>553</v>
      </c>
      <c r="R101" s="2" t="s">
        <v>694</v>
      </c>
    </row>
    <row r="102" spans="1:18" x14ac:dyDescent="0.25">
      <c r="A102" s="4">
        <v>101</v>
      </c>
      <c r="B102" s="4">
        <v>70817949</v>
      </c>
      <c r="C102" s="4" t="s">
        <v>250</v>
      </c>
      <c r="D102" s="4" t="s">
        <v>261</v>
      </c>
      <c r="E102" s="4" t="s">
        <v>260</v>
      </c>
      <c r="F102" s="4" t="s">
        <v>261</v>
      </c>
      <c r="G102" s="4" t="s">
        <v>262</v>
      </c>
      <c r="H102" s="4" t="s">
        <v>572</v>
      </c>
      <c r="I102" s="4" t="s">
        <v>687</v>
      </c>
      <c r="J102" s="4" t="s">
        <v>553</v>
      </c>
      <c r="R102" s="2" t="s">
        <v>694</v>
      </c>
    </row>
    <row r="103" spans="1:18" x14ac:dyDescent="0.25">
      <c r="A103" s="4">
        <v>102</v>
      </c>
      <c r="B103" s="4">
        <v>70817973</v>
      </c>
      <c r="C103" s="4" t="s">
        <v>250</v>
      </c>
      <c r="D103" s="4" t="s">
        <v>273</v>
      </c>
      <c r="E103" s="4" t="s">
        <v>272</v>
      </c>
      <c r="F103" s="4" t="s">
        <v>273</v>
      </c>
      <c r="G103" s="4" t="s">
        <v>274</v>
      </c>
      <c r="H103" s="4" t="s">
        <v>572</v>
      </c>
      <c r="I103" s="4" t="s">
        <v>687</v>
      </c>
      <c r="J103" s="4" t="s">
        <v>553</v>
      </c>
      <c r="R103" s="2" t="s">
        <v>694</v>
      </c>
    </row>
    <row r="104" spans="1:18" x14ac:dyDescent="0.25">
      <c r="A104" s="4">
        <v>103</v>
      </c>
      <c r="B104" s="4">
        <v>70817950</v>
      </c>
      <c r="C104" s="4" t="s">
        <v>250</v>
      </c>
      <c r="D104" s="4" t="s">
        <v>276</v>
      </c>
      <c r="E104" s="4" t="s">
        <v>275</v>
      </c>
      <c r="F104" s="4" t="s">
        <v>276</v>
      </c>
      <c r="G104" s="4" t="s">
        <v>277</v>
      </c>
      <c r="H104" s="4" t="s">
        <v>572</v>
      </c>
      <c r="I104" s="4" t="s">
        <v>687</v>
      </c>
      <c r="J104" s="4" t="s">
        <v>180</v>
      </c>
      <c r="R104" s="2" t="s">
        <v>694</v>
      </c>
    </row>
    <row r="105" spans="1:18" x14ac:dyDescent="0.25">
      <c r="A105" s="4">
        <v>104</v>
      </c>
      <c r="B105" s="4">
        <v>70817971</v>
      </c>
      <c r="C105" s="4" t="s">
        <v>250</v>
      </c>
      <c r="D105" s="4" t="s">
        <v>285</v>
      </c>
      <c r="E105" s="4" t="s">
        <v>284</v>
      </c>
      <c r="F105" s="4" t="s">
        <v>285</v>
      </c>
      <c r="G105" s="4" t="s">
        <v>340</v>
      </c>
      <c r="H105" s="4" t="s">
        <v>572</v>
      </c>
      <c r="I105" s="4" t="s">
        <v>687</v>
      </c>
      <c r="J105" s="4" t="s">
        <v>553</v>
      </c>
      <c r="K105" s="2" t="s">
        <v>392</v>
      </c>
      <c r="N105" s="4" t="s">
        <v>511</v>
      </c>
      <c r="O105" s="9" t="s">
        <v>512</v>
      </c>
      <c r="R105" s="2" t="s">
        <v>694</v>
      </c>
    </row>
    <row r="106" spans="1:18" x14ac:dyDescent="0.25">
      <c r="A106" s="4">
        <v>105</v>
      </c>
      <c r="B106" s="4">
        <v>70817969</v>
      </c>
      <c r="C106" s="4" t="s">
        <v>250</v>
      </c>
      <c r="D106" s="4" t="s">
        <v>290</v>
      </c>
      <c r="E106" s="4" t="s">
        <v>289</v>
      </c>
      <c r="F106" s="4" t="s">
        <v>290</v>
      </c>
      <c r="G106" s="4" t="s">
        <v>291</v>
      </c>
      <c r="H106" s="4" t="s">
        <v>572</v>
      </c>
      <c r="I106" s="4" t="s">
        <v>687</v>
      </c>
      <c r="J106" s="4" t="s">
        <v>180</v>
      </c>
      <c r="K106" s="5">
        <v>45035</v>
      </c>
      <c r="N106" s="4" t="s">
        <v>398</v>
      </c>
      <c r="R106" s="2" t="s">
        <v>694</v>
      </c>
    </row>
    <row r="107" spans="1:18" x14ac:dyDescent="0.25">
      <c r="A107" s="4">
        <v>106</v>
      </c>
      <c r="B107" s="4">
        <v>70846703</v>
      </c>
      <c r="C107" s="4" t="s">
        <v>250</v>
      </c>
      <c r="D107" s="4" t="s">
        <v>344</v>
      </c>
      <c r="E107" s="4" t="s">
        <v>345</v>
      </c>
      <c r="F107" s="4" t="s">
        <v>344</v>
      </c>
      <c r="G107" s="4" t="s">
        <v>346</v>
      </c>
      <c r="H107" s="4" t="s">
        <v>572</v>
      </c>
      <c r="I107" s="4" t="s">
        <v>687</v>
      </c>
      <c r="J107" s="4" t="s">
        <v>553</v>
      </c>
      <c r="K107" s="2" t="s">
        <v>392</v>
      </c>
      <c r="N107" s="4" t="s">
        <v>398</v>
      </c>
      <c r="R107" s="2" t="s">
        <v>694</v>
      </c>
    </row>
    <row r="108" spans="1:18" x14ac:dyDescent="0.25">
      <c r="A108" s="4">
        <v>107</v>
      </c>
      <c r="B108" s="4">
        <v>70846705</v>
      </c>
      <c r="C108" s="4" t="s">
        <v>250</v>
      </c>
      <c r="D108" s="4" t="s">
        <v>350</v>
      </c>
      <c r="E108" s="4" t="s">
        <v>351</v>
      </c>
      <c r="F108" s="4" t="s">
        <v>350</v>
      </c>
      <c r="G108" s="4" t="s">
        <v>352</v>
      </c>
      <c r="H108" s="4" t="s">
        <v>572</v>
      </c>
      <c r="I108" s="4" t="s">
        <v>687</v>
      </c>
      <c r="J108" s="4" t="s">
        <v>553</v>
      </c>
      <c r="K108" s="2" t="s">
        <v>392</v>
      </c>
      <c r="N108" s="4" t="s">
        <v>398</v>
      </c>
      <c r="R108" s="2" t="s">
        <v>694</v>
      </c>
    </row>
    <row r="109" spans="1:18" x14ac:dyDescent="0.25">
      <c r="A109" s="4">
        <v>108</v>
      </c>
      <c r="B109" s="4">
        <v>70817972</v>
      </c>
      <c r="C109" s="4" t="s">
        <v>250</v>
      </c>
      <c r="D109" s="4" t="s">
        <v>258</v>
      </c>
      <c r="E109" s="4" t="s">
        <v>257</v>
      </c>
      <c r="F109" s="4" t="s">
        <v>258</v>
      </c>
      <c r="G109" s="4" t="s">
        <v>259</v>
      </c>
      <c r="H109" s="4" t="s">
        <v>572</v>
      </c>
      <c r="I109" s="4" t="s">
        <v>687</v>
      </c>
      <c r="J109" s="4" t="s">
        <v>553</v>
      </c>
      <c r="N109" s="4" t="s">
        <v>398</v>
      </c>
      <c r="R109" s="2" t="s">
        <v>694</v>
      </c>
    </row>
    <row r="110" spans="1:18" x14ac:dyDescent="0.25">
      <c r="A110" s="4">
        <v>109</v>
      </c>
      <c r="B110" s="4">
        <v>70817967</v>
      </c>
      <c r="C110" s="4" t="s">
        <v>250</v>
      </c>
      <c r="D110" s="4" t="s">
        <v>264</v>
      </c>
      <c r="E110" s="4" t="s">
        <v>263</v>
      </c>
      <c r="F110" s="4" t="s">
        <v>264</v>
      </c>
      <c r="G110" s="4" t="s">
        <v>265</v>
      </c>
      <c r="H110" s="4" t="s">
        <v>572</v>
      </c>
      <c r="I110" s="4" t="s">
        <v>687</v>
      </c>
      <c r="J110" s="4" t="s">
        <v>553</v>
      </c>
      <c r="N110" s="4" t="s">
        <v>398</v>
      </c>
      <c r="R110" s="2" t="s">
        <v>694</v>
      </c>
    </row>
    <row r="111" spans="1:18" x14ac:dyDescent="0.25">
      <c r="A111" s="4">
        <v>110</v>
      </c>
      <c r="B111" s="4">
        <v>70817974</v>
      </c>
      <c r="C111" s="4" t="s">
        <v>250</v>
      </c>
      <c r="D111" s="4" t="s">
        <v>267</v>
      </c>
      <c r="E111" s="4" t="s">
        <v>266</v>
      </c>
      <c r="F111" s="4" t="s">
        <v>267</v>
      </c>
      <c r="G111" s="4" t="s">
        <v>268</v>
      </c>
      <c r="H111" s="4" t="s">
        <v>572</v>
      </c>
      <c r="I111" s="4" t="s">
        <v>687</v>
      </c>
      <c r="J111" s="4" t="s">
        <v>180</v>
      </c>
      <c r="N111" s="4" t="s">
        <v>398</v>
      </c>
      <c r="R111" s="2" t="s">
        <v>694</v>
      </c>
    </row>
    <row r="112" spans="1:18" x14ac:dyDescent="0.25">
      <c r="A112" s="4">
        <v>111</v>
      </c>
      <c r="B112" s="4">
        <v>70817966</v>
      </c>
      <c r="C112" s="4" t="s">
        <v>250</v>
      </c>
      <c r="D112" s="4" t="s">
        <v>270</v>
      </c>
      <c r="E112" s="4" t="s">
        <v>269</v>
      </c>
      <c r="F112" s="4" t="s">
        <v>270</v>
      </c>
      <c r="G112" s="4" t="s">
        <v>271</v>
      </c>
      <c r="H112" s="4" t="s">
        <v>572</v>
      </c>
      <c r="I112" s="4" t="s">
        <v>687</v>
      </c>
      <c r="J112" s="4" t="s">
        <v>553</v>
      </c>
      <c r="R112" s="2" t="s">
        <v>694</v>
      </c>
    </row>
    <row r="113" spans="1:18" x14ac:dyDescent="0.25">
      <c r="A113" s="4">
        <v>112</v>
      </c>
      <c r="B113" s="4">
        <v>70817955</v>
      </c>
      <c r="C113" s="4" t="s">
        <v>250</v>
      </c>
      <c r="D113" s="4" t="s">
        <v>282</v>
      </c>
      <c r="E113" s="4" t="s">
        <v>281</v>
      </c>
      <c r="F113" s="4" t="s">
        <v>282</v>
      </c>
      <c r="G113" s="4" t="s">
        <v>283</v>
      </c>
      <c r="H113" s="4" t="s">
        <v>572</v>
      </c>
      <c r="I113" s="4" t="s">
        <v>687</v>
      </c>
      <c r="J113" s="4" t="s">
        <v>553</v>
      </c>
      <c r="R113" s="2" t="s">
        <v>694</v>
      </c>
    </row>
    <row r="114" spans="1:18" x14ac:dyDescent="0.25">
      <c r="A114" s="4">
        <v>113</v>
      </c>
      <c r="B114" s="4">
        <v>70817959</v>
      </c>
      <c r="C114" s="4" t="s">
        <v>250</v>
      </c>
      <c r="D114" s="4" t="s">
        <v>293</v>
      </c>
      <c r="E114" s="4" t="s">
        <v>292</v>
      </c>
      <c r="F114" s="4" t="s">
        <v>293</v>
      </c>
      <c r="G114" s="4" t="s">
        <v>294</v>
      </c>
      <c r="H114" s="4" t="s">
        <v>572</v>
      </c>
      <c r="I114" s="4" t="s">
        <v>687</v>
      </c>
      <c r="J114" s="4" t="s">
        <v>553</v>
      </c>
      <c r="R114" s="2" t="s">
        <v>694</v>
      </c>
    </row>
    <row r="115" spans="1:18" x14ac:dyDescent="0.25">
      <c r="A115" s="4">
        <v>114</v>
      </c>
      <c r="B115" s="4">
        <v>70846704</v>
      </c>
      <c r="C115" s="4" t="s">
        <v>250</v>
      </c>
      <c r="D115" s="4" t="s">
        <v>349</v>
      </c>
      <c r="E115" s="4" t="s">
        <v>348</v>
      </c>
      <c r="F115" s="4" t="s">
        <v>349</v>
      </c>
      <c r="G115" s="4" t="s">
        <v>347</v>
      </c>
      <c r="H115" s="4" t="s">
        <v>572</v>
      </c>
      <c r="I115" s="4" t="s">
        <v>687</v>
      </c>
      <c r="J115" s="4" t="s">
        <v>553</v>
      </c>
      <c r="K115" s="2" t="s">
        <v>392</v>
      </c>
      <c r="R115" s="2" t="s">
        <v>694</v>
      </c>
    </row>
    <row r="116" spans="1:18" x14ac:dyDescent="0.25">
      <c r="A116" s="4">
        <v>115</v>
      </c>
      <c r="B116" s="4">
        <v>70846707</v>
      </c>
      <c r="C116" s="4" t="s">
        <v>250</v>
      </c>
      <c r="D116" s="4" t="s">
        <v>356</v>
      </c>
      <c r="E116" s="4" t="s">
        <v>357</v>
      </c>
      <c r="F116" s="4" t="s">
        <v>356</v>
      </c>
      <c r="G116" s="4" t="s">
        <v>358</v>
      </c>
      <c r="H116" s="4" t="s">
        <v>572</v>
      </c>
      <c r="I116" s="4" t="s">
        <v>687</v>
      </c>
      <c r="J116" s="4" t="s">
        <v>553</v>
      </c>
      <c r="K116" s="2" t="s">
        <v>392</v>
      </c>
      <c r="R116" s="2" t="s">
        <v>694</v>
      </c>
    </row>
    <row r="117" spans="1:18" x14ac:dyDescent="0.25">
      <c r="A117" s="4">
        <v>116</v>
      </c>
      <c r="B117" s="4">
        <v>70846708</v>
      </c>
      <c r="C117" s="4" t="s">
        <v>250</v>
      </c>
      <c r="D117" s="4" t="s">
        <v>361</v>
      </c>
      <c r="E117" s="4" t="s">
        <v>360</v>
      </c>
      <c r="F117" s="4" t="s">
        <v>361</v>
      </c>
      <c r="G117" s="4" t="s">
        <v>359</v>
      </c>
      <c r="H117" s="4" t="s">
        <v>572</v>
      </c>
      <c r="I117" s="4" t="s">
        <v>687</v>
      </c>
      <c r="J117" s="4" t="s">
        <v>553</v>
      </c>
      <c r="K117" s="2" t="s">
        <v>392</v>
      </c>
      <c r="R117" s="2" t="s">
        <v>694</v>
      </c>
    </row>
    <row r="118" spans="1:18" x14ac:dyDescent="0.25">
      <c r="A118" s="4">
        <v>117</v>
      </c>
      <c r="B118" s="4">
        <v>70850778</v>
      </c>
      <c r="C118" s="4" t="s">
        <v>250</v>
      </c>
      <c r="D118" s="4" t="s">
        <v>510</v>
      </c>
      <c r="E118" s="4" t="s">
        <v>548</v>
      </c>
      <c r="F118" s="4" t="s">
        <v>510</v>
      </c>
      <c r="G118" s="4" t="s">
        <v>549</v>
      </c>
      <c r="H118" s="4" t="s">
        <v>572</v>
      </c>
      <c r="I118" s="4" t="s">
        <v>687</v>
      </c>
      <c r="J118" s="4" t="s">
        <v>553</v>
      </c>
      <c r="K118" s="2" t="s">
        <v>392</v>
      </c>
      <c r="L118" s="5">
        <v>45439</v>
      </c>
      <c r="R118" s="2" t="s">
        <v>694</v>
      </c>
    </row>
    <row r="119" spans="1:18" x14ac:dyDescent="0.25">
      <c r="A119" s="4">
        <v>118</v>
      </c>
      <c r="B119" s="4">
        <v>70846711</v>
      </c>
      <c r="C119" s="4" t="s">
        <v>573</v>
      </c>
      <c r="D119" s="4" t="s">
        <v>393</v>
      </c>
      <c r="E119" s="4" t="s">
        <v>394</v>
      </c>
      <c r="F119" s="4" t="s">
        <v>393</v>
      </c>
      <c r="G119" s="4" t="s">
        <v>395</v>
      </c>
      <c r="H119" s="4" t="s">
        <v>398</v>
      </c>
      <c r="I119" s="4" t="s">
        <v>398</v>
      </c>
      <c r="J119" s="4" t="s">
        <v>180</v>
      </c>
      <c r="K119" s="5">
        <v>45073</v>
      </c>
      <c r="R119" s="2" t="s">
        <v>695</v>
      </c>
    </row>
    <row r="120" spans="1:18" x14ac:dyDescent="0.25">
      <c r="A120" s="4">
        <v>119</v>
      </c>
      <c r="B120" s="4">
        <v>70849179</v>
      </c>
      <c r="C120" s="4" t="s">
        <v>573</v>
      </c>
      <c r="D120" s="4" t="s">
        <v>448</v>
      </c>
      <c r="E120" s="4" t="s">
        <v>454</v>
      </c>
      <c r="F120" s="4" t="s">
        <v>448</v>
      </c>
      <c r="G120" s="13" t="s">
        <v>460</v>
      </c>
      <c r="H120" s="4" t="s">
        <v>408</v>
      </c>
      <c r="I120" s="4" t="s">
        <v>634</v>
      </c>
      <c r="J120" s="4" t="s">
        <v>553</v>
      </c>
      <c r="K120" s="2" t="s">
        <v>392</v>
      </c>
      <c r="L120" s="5">
        <v>45233</v>
      </c>
      <c r="R120" s="2" t="s">
        <v>696</v>
      </c>
    </row>
    <row r="121" spans="1:18" x14ac:dyDescent="0.25">
      <c r="A121" s="4">
        <v>120</v>
      </c>
      <c r="B121" s="4">
        <v>70849175</v>
      </c>
      <c r="C121" s="4" t="s">
        <v>573</v>
      </c>
      <c r="D121" s="4" t="s">
        <v>449</v>
      </c>
      <c r="E121" s="4" t="s">
        <v>455</v>
      </c>
      <c r="F121" s="4" t="s">
        <v>449</v>
      </c>
      <c r="G121" s="13" t="s">
        <v>461</v>
      </c>
      <c r="H121" s="4" t="s">
        <v>408</v>
      </c>
      <c r="I121" s="4" t="s">
        <v>634</v>
      </c>
      <c r="J121" s="4" t="s">
        <v>553</v>
      </c>
      <c r="K121" s="2" t="s">
        <v>392</v>
      </c>
      <c r="L121" s="5">
        <v>45233</v>
      </c>
      <c r="R121" s="2" t="s">
        <v>696</v>
      </c>
    </row>
    <row r="122" spans="1:18" x14ac:dyDescent="0.25">
      <c r="A122" s="4">
        <v>121</v>
      </c>
      <c r="B122" s="4">
        <v>70849178</v>
      </c>
      <c r="C122" s="4" t="s">
        <v>573</v>
      </c>
      <c r="D122" s="4" t="s">
        <v>450</v>
      </c>
      <c r="E122" s="4" t="s">
        <v>456</v>
      </c>
      <c r="F122" s="4" t="s">
        <v>450</v>
      </c>
      <c r="G122" s="13" t="s">
        <v>462</v>
      </c>
      <c r="H122" s="4" t="s">
        <v>408</v>
      </c>
      <c r="I122" s="4" t="s">
        <v>634</v>
      </c>
      <c r="J122" s="4" t="s">
        <v>553</v>
      </c>
      <c r="K122" s="2" t="s">
        <v>392</v>
      </c>
      <c r="L122" s="5">
        <v>45233</v>
      </c>
      <c r="R122" s="2" t="s">
        <v>696</v>
      </c>
    </row>
    <row r="123" spans="1:18" x14ac:dyDescent="0.25">
      <c r="A123" s="4">
        <v>122</v>
      </c>
      <c r="B123" s="4">
        <v>70849180</v>
      </c>
      <c r="C123" s="4" t="s">
        <v>573</v>
      </c>
      <c r="D123" s="4" t="s">
        <v>451</v>
      </c>
      <c r="E123" s="4" t="s">
        <v>457</v>
      </c>
      <c r="F123" s="4" t="s">
        <v>451</v>
      </c>
      <c r="G123" s="13" t="s">
        <v>463</v>
      </c>
      <c r="H123" s="4" t="s">
        <v>408</v>
      </c>
      <c r="I123" s="4" t="s">
        <v>634</v>
      </c>
      <c r="J123" s="4" t="s">
        <v>553</v>
      </c>
      <c r="K123" s="2" t="s">
        <v>392</v>
      </c>
      <c r="L123" s="5">
        <v>45233</v>
      </c>
      <c r="R123" s="2" t="s">
        <v>696</v>
      </c>
    </row>
    <row r="124" spans="1:18" x14ac:dyDescent="0.25">
      <c r="A124" s="4">
        <v>123</v>
      </c>
      <c r="B124" s="4">
        <v>70849176</v>
      </c>
      <c r="C124" s="4" t="s">
        <v>573</v>
      </c>
      <c r="D124" s="4" t="s">
        <v>452</v>
      </c>
      <c r="E124" s="4" t="s">
        <v>458</v>
      </c>
      <c r="F124" s="4" t="s">
        <v>452</v>
      </c>
      <c r="G124" s="13" t="s">
        <v>464</v>
      </c>
      <c r="H124" s="4" t="s">
        <v>408</v>
      </c>
      <c r="I124" s="4" t="s">
        <v>634</v>
      </c>
      <c r="J124" s="4" t="s">
        <v>553</v>
      </c>
      <c r="K124" s="2" t="s">
        <v>392</v>
      </c>
      <c r="L124" s="5">
        <v>45233</v>
      </c>
      <c r="R124" s="2" t="s">
        <v>696</v>
      </c>
    </row>
    <row r="125" spans="1:18" x14ac:dyDescent="0.25">
      <c r="A125" s="4">
        <v>124</v>
      </c>
      <c r="B125" s="4">
        <v>70849177</v>
      </c>
      <c r="C125" s="4" t="s">
        <v>573</v>
      </c>
      <c r="D125" s="4" t="s">
        <v>453</v>
      </c>
      <c r="E125" s="4" t="s">
        <v>459</v>
      </c>
      <c r="F125" s="4" t="s">
        <v>453</v>
      </c>
      <c r="G125" s="13" t="s">
        <v>465</v>
      </c>
      <c r="H125" s="4" t="s">
        <v>408</v>
      </c>
      <c r="I125" s="4" t="s">
        <v>634</v>
      </c>
      <c r="J125" s="4" t="s">
        <v>553</v>
      </c>
      <c r="K125" s="2" t="s">
        <v>392</v>
      </c>
      <c r="L125" s="5">
        <v>45233</v>
      </c>
      <c r="R125" s="2" t="s">
        <v>696</v>
      </c>
    </row>
    <row r="126" spans="1:18" x14ac:dyDescent="0.25">
      <c r="A126" s="4">
        <v>125</v>
      </c>
      <c r="B126" s="4">
        <v>70846753</v>
      </c>
      <c r="C126" s="4" t="s">
        <v>301</v>
      </c>
      <c r="D126" s="8" t="s">
        <v>440</v>
      </c>
      <c r="E126" s="8" t="s">
        <v>441</v>
      </c>
      <c r="F126" s="8" t="s">
        <v>440</v>
      </c>
      <c r="G126" s="4" t="s">
        <v>632</v>
      </c>
      <c r="H126" s="4" t="s">
        <v>633</v>
      </c>
      <c r="I126" s="4" t="s">
        <v>566</v>
      </c>
      <c r="J126" s="4" t="s">
        <v>553</v>
      </c>
      <c r="R126" s="2" t="s">
        <v>697</v>
      </c>
    </row>
    <row r="127" spans="1:18" x14ac:dyDescent="0.25">
      <c r="A127" s="4">
        <v>126</v>
      </c>
      <c r="B127" s="4">
        <v>70849963</v>
      </c>
      <c r="C127" s="4" t="s">
        <v>301</v>
      </c>
      <c r="D127" s="8" t="s">
        <v>474</v>
      </c>
      <c r="E127" s="8" t="s">
        <v>481</v>
      </c>
      <c r="F127" s="8" t="s">
        <v>474</v>
      </c>
      <c r="G127" s="8" t="s">
        <v>494</v>
      </c>
      <c r="H127" s="4" t="s">
        <v>623</v>
      </c>
      <c r="I127" s="4" t="s">
        <v>566</v>
      </c>
      <c r="J127" s="4" t="s">
        <v>553</v>
      </c>
      <c r="R127" s="2" t="s">
        <v>697</v>
      </c>
    </row>
    <row r="128" spans="1:18" x14ac:dyDescent="0.25">
      <c r="A128" s="4">
        <v>127</v>
      </c>
      <c r="B128" s="4">
        <v>70849964</v>
      </c>
      <c r="C128" s="4" t="s">
        <v>301</v>
      </c>
      <c r="D128" s="8" t="s">
        <v>475</v>
      </c>
      <c r="E128" s="8" t="s">
        <v>482</v>
      </c>
      <c r="F128" s="8" t="s">
        <v>475</v>
      </c>
      <c r="G128" s="8" t="s">
        <v>493</v>
      </c>
      <c r="H128" s="4" t="s">
        <v>624</v>
      </c>
      <c r="I128" s="4" t="s">
        <v>566</v>
      </c>
      <c r="J128" s="4" t="s">
        <v>553</v>
      </c>
      <c r="R128" s="2" t="s">
        <v>697</v>
      </c>
    </row>
    <row r="129" spans="1:25" x14ac:dyDescent="0.25">
      <c r="A129" s="4">
        <v>128</v>
      </c>
      <c r="B129" s="4">
        <v>70849965</v>
      </c>
      <c r="C129" s="4" t="s">
        <v>301</v>
      </c>
      <c r="D129" s="8" t="s">
        <v>476</v>
      </c>
      <c r="E129" s="8" t="s">
        <v>483</v>
      </c>
      <c r="F129" s="8" t="s">
        <v>476</v>
      </c>
      <c r="G129" s="8" t="s">
        <v>492</v>
      </c>
      <c r="H129" s="4" t="s">
        <v>625</v>
      </c>
      <c r="I129" s="4" t="s">
        <v>566</v>
      </c>
      <c r="J129" s="4" t="s">
        <v>553</v>
      </c>
      <c r="R129" s="2" t="s">
        <v>697</v>
      </c>
    </row>
    <row r="130" spans="1:25" x14ac:dyDescent="0.25">
      <c r="A130" s="4">
        <v>129</v>
      </c>
      <c r="B130" s="4">
        <v>70849966</v>
      </c>
      <c r="C130" s="4" t="s">
        <v>301</v>
      </c>
      <c r="D130" s="8" t="s">
        <v>477</v>
      </c>
      <c r="E130" s="8" t="s">
        <v>484</v>
      </c>
      <c r="F130" s="8" t="s">
        <v>477</v>
      </c>
      <c r="G130" s="8" t="s">
        <v>491</v>
      </c>
      <c r="H130" s="4" t="s">
        <v>626</v>
      </c>
      <c r="I130" s="4" t="s">
        <v>566</v>
      </c>
      <c r="J130" s="4" t="s">
        <v>553</v>
      </c>
      <c r="R130" s="2" t="s">
        <v>697</v>
      </c>
    </row>
    <row r="131" spans="1:25" x14ac:dyDescent="0.25">
      <c r="A131" s="4">
        <v>130</v>
      </c>
      <c r="B131" s="4">
        <v>70849967</v>
      </c>
      <c r="C131" s="4" t="s">
        <v>301</v>
      </c>
      <c r="D131" s="8" t="s">
        <v>478</v>
      </c>
      <c r="E131" s="8" t="s">
        <v>485</v>
      </c>
      <c r="F131" s="8" t="s">
        <v>478</v>
      </c>
      <c r="G131" s="8" t="s">
        <v>490</v>
      </c>
      <c r="H131" s="4" t="s">
        <v>627</v>
      </c>
      <c r="I131" s="4" t="s">
        <v>566</v>
      </c>
      <c r="J131" s="4" t="s">
        <v>553</v>
      </c>
      <c r="R131" s="2" t="s">
        <v>697</v>
      </c>
    </row>
    <row r="132" spans="1:25" x14ac:dyDescent="0.25">
      <c r="A132" s="4">
        <v>131</v>
      </c>
      <c r="B132" s="4">
        <v>70849968</v>
      </c>
      <c r="C132" s="4" t="s">
        <v>301</v>
      </c>
      <c r="D132" s="8" t="s">
        <v>479</v>
      </c>
      <c r="E132" s="8" t="s">
        <v>486</v>
      </c>
      <c r="F132" s="8" t="s">
        <v>479</v>
      </c>
      <c r="G132" s="8" t="s">
        <v>489</v>
      </c>
      <c r="H132" s="4" t="s">
        <v>628</v>
      </c>
      <c r="I132" s="4" t="s">
        <v>566</v>
      </c>
      <c r="J132" s="4" t="s">
        <v>553</v>
      </c>
      <c r="R132" s="2" t="s">
        <v>697</v>
      </c>
    </row>
    <row r="133" spans="1:25" x14ac:dyDescent="0.25">
      <c r="A133" s="4">
        <v>132</v>
      </c>
      <c r="B133" s="4">
        <v>70849962</v>
      </c>
      <c r="C133" s="4" t="s">
        <v>301</v>
      </c>
      <c r="D133" s="8" t="s">
        <v>480</v>
      </c>
      <c r="E133" s="8" t="s">
        <v>487</v>
      </c>
      <c r="F133" s="8" t="s">
        <v>480</v>
      </c>
      <c r="G133" s="8" t="s">
        <v>488</v>
      </c>
      <c r="H133" s="4" t="s">
        <v>629</v>
      </c>
      <c r="I133" s="4" t="s">
        <v>566</v>
      </c>
      <c r="J133" s="4" t="s">
        <v>553</v>
      </c>
      <c r="R133" s="2" t="s">
        <v>697</v>
      </c>
    </row>
    <row r="134" spans="1:25" x14ac:dyDescent="0.25">
      <c r="A134" s="4">
        <v>133</v>
      </c>
      <c r="B134" s="4">
        <v>70850610</v>
      </c>
      <c r="C134" s="4" t="s">
        <v>301</v>
      </c>
      <c r="D134" s="8" t="s">
        <v>497</v>
      </c>
      <c r="E134" s="8" t="s">
        <v>499</v>
      </c>
      <c r="F134" s="8" t="s">
        <v>497</v>
      </c>
      <c r="G134" s="8" t="s">
        <v>501</v>
      </c>
      <c r="H134" s="4" t="s">
        <v>630</v>
      </c>
      <c r="I134" s="4" t="s">
        <v>566</v>
      </c>
      <c r="J134" s="4" t="s">
        <v>553</v>
      </c>
      <c r="R134" s="2" t="s">
        <v>697</v>
      </c>
    </row>
    <row r="135" spans="1:25" x14ac:dyDescent="0.25">
      <c r="A135" s="4">
        <v>134</v>
      </c>
      <c r="B135" s="4">
        <v>70850611</v>
      </c>
      <c r="C135" s="19" t="s">
        <v>301</v>
      </c>
      <c r="D135" s="8" t="s">
        <v>498</v>
      </c>
      <c r="E135" s="8" t="s">
        <v>500</v>
      </c>
      <c r="F135" s="8" t="s">
        <v>498</v>
      </c>
      <c r="G135" s="8" t="s">
        <v>502</v>
      </c>
      <c r="H135" s="4" t="s">
        <v>631</v>
      </c>
      <c r="I135" s="4" t="s">
        <v>566</v>
      </c>
      <c r="J135" s="4" t="s">
        <v>553</v>
      </c>
      <c r="R135" s="2" t="s">
        <v>697</v>
      </c>
    </row>
    <row r="136" spans="1:25" x14ac:dyDescent="0.25">
      <c r="A136" s="4">
        <v>135</v>
      </c>
      <c r="B136" s="4">
        <v>70818100</v>
      </c>
      <c r="C136" s="4" t="s">
        <v>301</v>
      </c>
      <c r="D136" s="4" t="s">
        <v>303</v>
      </c>
      <c r="E136" s="4" t="s">
        <v>302</v>
      </c>
      <c r="F136" s="4" t="s">
        <v>303</v>
      </c>
      <c r="G136" s="4" t="s">
        <v>304</v>
      </c>
      <c r="H136" s="4" t="s">
        <v>410</v>
      </c>
      <c r="I136" s="4" t="s">
        <v>565</v>
      </c>
      <c r="J136" s="4" t="s">
        <v>553</v>
      </c>
      <c r="L136" s="5"/>
      <c r="R136" s="2" t="s">
        <v>698</v>
      </c>
    </row>
    <row r="137" spans="1:25" x14ac:dyDescent="0.25">
      <c r="A137" s="4">
        <v>136</v>
      </c>
      <c r="B137" s="4">
        <v>70818116</v>
      </c>
      <c r="C137" s="4" t="s">
        <v>301</v>
      </c>
      <c r="D137" s="4" t="s">
        <v>306</v>
      </c>
      <c r="E137" s="4" t="s">
        <v>305</v>
      </c>
      <c r="F137" s="4" t="s">
        <v>306</v>
      </c>
      <c r="G137" s="4" t="s">
        <v>307</v>
      </c>
      <c r="H137" s="4" t="s">
        <v>411</v>
      </c>
      <c r="I137" s="4" t="s">
        <v>565</v>
      </c>
      <c r="J137" s="4" t="s">
        <v>553</v>
      </c>
      <c r="R137" s="2" t="s">
        <v>698</v>
      </c>
    </row>
    <row r="138" spans="1:25" x14ac:dyDescent="0.25">
      <c r="A138" s="4">
        <v>137</v>
      </c>
      <c r="B138" s="4">
        <v>70818113</v>
      </c>
      <c r="C138" s="4" t="s">
        <v>301</v>
      </c>
      <c r="D138" s="4" t="s">
        <v>309</v>
      </c>
      <c r="E138" s="4" t="s">
        <v>308</v>
      </c>
      <c r="F138" s="4" t="s">
        <v>309</v>
      </c>
      <c r="G138" s="4" t="s">
        <v>310</v>
      </c>
      <c r="H138" s="4" t="s">
        <v>412</v>
      </c>
      <c r="I138" s="4" t="s">
        <v>565</v>
      </c>
      <c r="J138" s="4" t="s">
        <v>180</v>
      </c>
      <c r="K138" s="5">
        <v>45075</v>
      </c>
      <c r="R138" s="2" t="s">
        <v>698</v>
      </c>
    </row>
    <row r="139" spans="1:25" x14ac:dyDescent="0.25">
      <c r="A139" s="4">
        <v>138</v>
      </c>
      <c r="B139" s="4">
        <v>70818156</v>
      </c>
      <c r="C139" s="4" t="s">
        <v>301</v>
      </c>
      <c r="D139" s="4" t="s">
        <v>312</v>
      </c>
      <c r="E139" s="4" t="s">
        <v>311</v>
      </c>
      <c r="F139" s="4" t="s">
        <v>312</v>
      </c>
      <c r="G139" s="4" t="s">
        <v>313</v>
      </c>
      <c r="H139" s="4" t="s">
        <v>413</v>
      </c>
      <c r="I139" s="4" t="s">
        <v>565</v>
      </c>
      <c r="J139" s="4" t="s">
        <v>553</v>
      </c>
      <c r="R139" s="2" t="s">
        <v>698</v>
      </c>
      <c r="Y139" s="22" t="s">
        <v>713</v>
      </c>
    </row>
    <row r="140" spans="1:25" x14ac:dyDescent="0.25">
      <c r="A140" s="4">
        <v>139</v>
      </c>
      <c r="B140" s="4">
        <v>70818101</v>
      </c>
      <c r="C140" s="4" t="s">
        <v>301</v>
      </c>
      <c r="D140" s="4" t="s">
        <v>315</v>
      </c>
      <c r="E140" s="4" t="s">
        <v>314</v>
      </c>
      <c r="F140" s="4" t="s">
        <v>315</v>
      </c>
      <c r="G140" s="4" t="s">
        <v>316</v>
      </c>
      <c r="H140" s="4" t="s">
        <v>437</v>
      </c>
      <c r="I140" s="4" t="s">
        <v>565</v>
      </c>
      <c r="J140" s="4" t="s">
        <v>553</v>
      </c>
      <c r="R140" s="2" t="s">
        <v>698</v>
      </c>
      <c r="Y140" s="22" t="s">
        <v>714</v>
      </c>
    </row>
    <row r="141" spans="1:25" x14ac:dyDescent="0.25">
      <c r="A141" s="4">
        <v>140</v>
      </c>
      <c r="B141" s="4">
        <v>70818089</v>
      </c>
      <c r="C141" s="4" t="s">
        <v>301</v>
      </c>
      <c r="D141" s="4" t="s">
        <v>318</v>
      </c>
      <c r="E141" s="4" t="s">
        <v>317</v>
      </c>
      <c r="F141" s="4" t="s">
        <v>318</v>
      </c>
      <c r="G141" s="4" t="s">
        <v>319</v>
      </c>
      <c r="H141" s="4" t="s">
        <v>414</v>
      </c>
      <c r="I141" s="4" t="s">
        <v>565</v>
      </c>
      <c r="J141" s="4" t="s">
        <v>553</v>
      </c>
      <c r="R141" s="2" t="s">
        <v>698</v>
      </c>
      <c r="Y141" s="22" t="s">
        <v>715</v>
      </c>
    </row>
    <row r="142" spans="1:25" x14ac:dyDescent="0.25">
      <c r="A142" s="4">
        <v>141</v>
      </c>
      <c r="B142" s="4">
        <v>70818110</v>
      </c>
      <c r="C142" s="4" t="s">
        <v>301</v>
      </c>
      <c r="D142" s="4" t="s">
        <v>321</v>
      </c>
      <c r="E142" s="4" t="s">
        <v>320</v>
      </c>
      <c r="F142" s="4" t="s">
        <v>321</v>
      </c>
      <c r="G142" s="4" t="s">
        <v>322</v>
      </c>
      <c r="H142" s="4" t="s">
        <v>415</v>
      </c>
      <c r="I142" s="4" t="s">
        <v>565</v>
      </c>
      <c r="J142" s="4" t="s">
        <v>553</v>
      </c>
      <c r="R142" s="2" t="s">
        <v>698</v>
      </c>
      <c r="Y142" s="22" t="s">
        <v>716</v>
      </c>
    </row>
    <row r="143" spans="1:25" x14ac:dyDescent="0.25">
      <c r="A143" s="4">
        <v>142</v>
      </c>
      <c r="B143" s="4">
        <v>70818099</v>
      </c>
      <c r="C143" s="4" t="s">
        <v>301</v>
      </c>
      <c r="D143" s="4" t="s">
        <v>324</v>
      </c>
      <c r="E143" s="4" t="s">
        <v>323</v>
      </c>
      <c r="F143" s="4" t="s">
        <v>324</v>
      </c>
      <c r="G143" s="4" t="s">
        <v>325</v>
      </c>
      <c r="H143" s="4" t="s">
        <v>416</v>
      </c>
      <c r="I143" s="4" t="s">
        <v>565</v>
      </c>
      <c r="J143" s="4" t="s">
        <v>553</v>
      </c>
      <c r="R143" s="2" t="s">
        <v>698</v>
      </c>
      <c r="Y143" s="22" t="s">
        <v>717</v>
      </c>
    </row>
    <row r="144" spans="1:25" x14ac:dyDescent="0.25">
      <c r="A144" s="4">
        <v>143</v>
      </c>
      <c r="B144" s="4">
        <v>70818097</v>
      </c>
      <c r="C144" s="4" t="s">
        <v>301</v>
      </c>
      <c r="D144" s="4" t="s">
        <v>327</v>
      </c>
      <c r="E144" s="4" t="s">
        <v>326</v>
      </c>
      <c r="F144" s="4" t="s">
        <v>327</v>
      </c>
      <c r="G144" s="4" t="s">
        <v>328</v>
      </c>
      <c r="H144" s="4" t="s">
        <v>438</v>
      </c>
      <c r="I144" s="4" t="s">
        <v>565</v>
      </c>
      <c r="J144" s="4" t="s">
        <v>553</v>
      </c>
      <c r="R144" s="2" t="s">
        <v>698</v>
      </c>
      <c r="Y144" s="22" t="s">
        <v>718</v>
      </c>
    </row>
    <row r="145" spans="1:25" x14ac:dyDescent="0.25">
      <c r="A145" s="4">
        <v>144</v>
      </c>
      <c r="B145" s="4">
        <v>70818093</v>
      </c>
      <c r="C145" s="4" t="s">
        <v>301</v>
      </c>
      <c r="D145" s="4" t="s">
        <v>330</v>
      </c>
      <c r="E145" s="4" t="s">
        <v>329</v>
      </c>
      <c r="F145" s="4" t="s">
        <v>330</v>
      </c>
      <c r="G145" s="4" t="s">
        <v>331</v>
      </c>
      <c r="H145" s="4" t="s">
        <v>417</v>
      </c>
      <c r="I145" s="4" t="s">
        <v>565</v>
      </c>
      <c r="J145" s="4" t="s">
        <v>553</v>
      </c>
      <c r="R145" s="2" t="s">
        <v>698</v>
      </c>
      <c r="Y145" s="22" t="s">
        <v>719</v>
      </c>
    </row>
    <row r="146" spans="1:25" x14ac:dyDescent="0.25">
      <c r="A146" s="4">
        <v>145</v>
      </c>
      <c r="B146" s="4">
        <v>70818109</v>
      </c>
      <c r="C146" s="4" t="s">
        <v>301</v>
      </c>
      <c r="D146" s="4" t="s">
        <v>333</v>
      </c>
      <c r="E146" s="4" t="s">
        <v>332</v>
      </c>
      <c r="F146" s="4" t="s">
        <v>333</v>
      </c>
      <c r="G146" s="4" t="s">
        <v>334</v>
      </c>
      <c r="H146" s="4" t="s">
        <v>418</v>
      </c>
      <c r="I146" s="4" t="s">
        <v>565</v>
      </c>
      <c r="J146" s="4" t="s">
        <v>553</v>
      </c>
      <c r="R146" s="2" t="s">
        <v>698</v>
      </c>
      <c r="Y146" s="22" t="s">
        <v>720</v>
      </c>
    </row>
    <row r="147" spans="1:25" x14ac:dyDescent="0.25">
      <c r="A147" s="4">
        <v>146</v>
      </c>
      <c r="B147" s="4">
        <v>70846754</v>
      </c>
      <c r="C147" s="4" t="s">
        <v>301</v>
      </c>
      <c r="D147" s="8" t="s">
        <v>442</v>
      </c>
      <c r="E147" s="8" t="s">
        <v>444</v>
      </c>
      <c r="F147" s="8" t="s">
        <v>442</v>
      </c>
      <c r="G147" s="8" t="s">
        <v>446</v>
      </c>
      <c r="H147" s="4" t="s">
        <v>418</v>
      </c>
      <c r="I147" s="4" t="s">
        <v>565</v>
      </c>
      <c r="J147" s="4" t="s">
        <v>553</v>
      </c>
      <c r="R147" s="2" t="s">
        <v>698</v>
      </c>
      <c r="Y147" s="22" t="s">
        <v>721</v>
      </c>
    </row>
    <row r="148" spans="1:25" x14ac:dyDescent="0.25">
      <c r="A148" s="4">
        <v>147</v>
      </c>
      <c r="B148" s="4">
        <v>70847599</v>
      </c>
      <c r="C148" s="4" t="s">
        <v>301</v>
      </c>
      <c r="D148" s="8" t="s">
        <v>443</v>
      </c>
      <c r="E148" s="8" t="s">
        <v>445</v>
      </c>
      <c r="F148" s="8" t="s">
        <v>443</v>
      </c>
      <c r="G148" s="8" t="s">
        <v>447</v>
      </c>
      <c r="H148" s="4" t="s">
        <v>418</v>
      </c>
      <c r="I148" s="4" t="s">
        <v>565</v>
      </c>
      <c r="J148" s="4" t="s">
        <v>553</v>
      </c>
      <c r="R148" s="2" t="s">
        <v>698</v>
      </c>
      <c r="Y148" s="22" t="s">
        <v>722</v>
      </c>
    </row>
    <row r="149" spans="1:25" x14ac:dyDescent="0.25">
      <c r="A149" s="4">
        <v>148</v>
      </c>
      <c r="B149" s="4">
        <v>70818699</v>
      </c>
      <c r="C149" s="4" t="s">
        <v>143</v>
      </c>
      <c r="D149" s="4" t="s">
        <v>148</v>
      </c>
      <c r="E149" s="4" t="s">
        <v>147</v>
      </c>
      <c r="F149" s="4" t="s">
        <v>148</v>
      </c>
      <c r="G149" s="4" t="s">
        <v>149</v>
      </c>
      <c r="H149" s="4" t="s">
        <v>408</v>
      </c>
      <c r="I149" s="4" t="s">
        <v>408</v>
      </c>
      <c r="J149" s="4" t="s">
        <v>180</v>
      </c>
      <c r="K149" s="5">
        <v>45046</v>
      </c>
      <c r="R149" s="2" t="s">
        <v>683</v>
      </c>
      <c r="Y149" s="23" t="s">
        <v>723</v>
      </c>
    </row>
    <row r="150" spans="1:25" x14ac:dyDescent="0.25">
      <c r="A150" s="4">
        <v>149</v>
      </c>
      <c r="B150" s="4">
        <v>70833115</v>
      </c>
      <c r="C150" s="4" t="s">
        <v>143</v>
      </c>
      <c r="D150" s="4" t="s">
        <v>178</v>
      </c>
      <c r="E150" s="4" t="s">
        <v>177</v>
      </c>
      <c r="F150" s="4" t="s">
        <v>178</v>
      </c>
      <c r="G150" s="4" t="s">
        <v>179</v>
      </c>
      <c r="H150" s="4" t="s">
        <v>408</v>
      </c>
      <c r="I150" s="4" t="s">
        <v>408</v>
      </c>
      <c r="J150" s="4" t="s">
        <v>180</v>
      </c>
      <c r="R150" s="2" t="s">
        <v>683</v>
      </c>
      <c r="Y150" s="23" t="s">
        <v>724</v>
      </c>
    </row>
    <row r="151" spans="1:25" x14ac:dyDescent="0.25">
      <c r="A151" s="4">
        <v>150</v>
      </c>
      <c r="B151" s="4">
        <v>70818695</v>
      </c>
      <c r="C151" s="4" t="s">
        <v>143</v>
      </c>
      <c r="D151" s="4" t="s">
        <v>145</v>
      </c>
      <c r="E151" s="8" t="s">
        <v>144</v>
      </c>
      <c r="F151" s="4" t="s">
        <v>145</v>
      </c>
      <c r="G151" s="8" t="s">
        <v>146</v>
      </c>
      <c r="H151" s="4" t="s">
        <v>430</v>
      </c>
      <c r="I151" s="4" t="s">
        <v>567</v>
      </c>
      <c r="J151" s="4" t="s">
        <v>553</v>
      </c>
      <c r="R151" s="2" t="s">
        <v>699</v>
      </c>
      <c r="Y151" s="23" t="s">
        <v>725</v>
      </c>
    </row>
    <row r="152" spans="1:25" x14ac:dyDescent="0.25">
      <c r="A152" s="4">
        <v>151</v>
      </c>
      <c r="B152" s="4">
        <v>70818702</v>
      </c>
      <c r="C152" s="4" t="s">
        <v>143</v>
      </c>
      <c r="D152" s="4" t="s">
        <v>151</v>
      </c>
      <c r="E152" s="4" t="s">
        <v>150</v>
      </c>
      <c r="F152" s="4" t="s">
        <v>151</v>
      </c>
      <c r="G152" s="4" t="s">
        <v>152</v>
      </c>
      <c r="H152" s="4" t="s">
        <v>419</v>
      </c>
      <c r="I152" s="4" t="s">
        <v>567</v>
      </c>
      <c r="J152" s="4" t="s">
        <v>553</v>
      </c>
      <c r="R152" s="2" t="s">
        <v>699</v>
      </c>
      <c r="Y152" s="23" t="s">
        <v>726</v>
      </c>
    </row>
    <row r="153" spans="1:25" x14ac:dyDescent="0.25">
      <c r="A153" s="4">
        <v>152</v>
      </c>
      <c r="B153" s="4">
        <v>70818696</v>
      </c>
      <c r="C153" s="4" t="s">
        <v>143</v>
      </c>
      <c r="D153" s="4" t="s">
        <v>154</v>
      </c>
      <c r="E153" s="4" t="s">
        <v>153</v>
      </c>
      <c r="F153" s="4" t="s">
        <v>154</v>
      </c>
      <c r="G153" s="4" t="s">
        <v>155</v>
      </c>
      <c r="H153" s="4" t="s">
        <v>429</v>
      </c>
      <c r="I153" s="4" t="s">
        <v>567</v>
      </c>
      <c r="J153" s="4" t="s">
        <v>553</v>
      </c>
      <c r="R153" s="2" t="s">
        <v>699</v>
      </c>
      <c r="Y153" s="23" t="s">
        <v>727</v>
      </c>
    </row>
    <row r="154" spans="1:25" x14ac:dyDescent="0.25">
      <c r="A154" s="4">
        <v>153</v>
      </c>
      <c r="B154" s="4">
        <v>70818697</v>
      </c>
      <c r="C154" s="4" t="s">
        <v>143</v>
      </c>
      <c r="D154" s="4" t="s">
        <v>157</v>
      </c>
      <c r="E154" s="4" t="s">
        <v>156</v>
      </c>
      <c r="F154" s="4" t="s">
        <v>157</v>
      </c>
      <c r="G154" s="4" t="s">
        <v>158</v>
      </c>
      <c r="H154" s="4" t="s">
        <v>432</v>
      </c>
      <c r="I154" s="4" t="s">
        <v>567</v>
      </c>
      <c r="J154" s="4" t="s">
        <v>180</v>
      </c>
      <c r="R154" s="2" t="s">
        <v>699</v>
      </c>
      <c r="Y154" s="23" t="s">
        <v>728</v>
      </c>
    </row>
    <row r="155" spans="1:25" x14ac:dyDescent="0.25">
      <c r="A155" s="4">
        <v>154</v>
      </c>
      <c r="B155" s="4">
        <v>70818694</v>
      </c>
      <c r="C155" s="4" t="s">
        <v>143</v>
      </c>
      <c r="D155" s="4" t="s">
        <v>160</v>
      </c>
      <c r="E155" s="4" t="s">
        <v>159</v>
      </c>
      <c r="F155" s="4" t="s">
        <v>160</v>
      </c>
      <c r="G155" s="4" t="s">
        <v>161</v>
      </c>
      <c r="H155" s="4" t="s">
        <v>408</v>
      </c>
      <c r="I155" s="4" t="s">
        <v>567</v>
      </c>
      <c r="J155" s="4" t="s">
        <v>553</v>
      </c>
      <c r="R155" s="2" t="s">
        <v>699</v>
      </c>
      <c r="Y155" s="23" t="s">
        <v>729</v>
      </c>
    </row>
    <row r="156" spans="1:25" x14ac:dyDescent="0.25">
      <c r="A156" s="4">
        <v>155</v>
      </c>
      <c r="B156" s="4">
        <v>70818700</v>
      </c>
      <c r="C156" s="4" t="s">
        <v>143</v>
      </c>
      <c r="D156" s="4" t="s">
        <v>163</v>
      </c>
      <c r="E156" s="4" t="s">
        <v>162</v>
      </c>
      <c r="F156" s="4" t="s">
        <v>163</v>
      </c>
      <c r="G156" s="4" t="s">
        <v>164</v>
      </c>
      <c r="H156" s="4" t="s">
        <v>431</v>
      </c>
      <c r="I156" s="4" t="s">
        <v>567</v>
      </c>
      <c r="J156" s="4" t="s">
        <v>553</v>
      </c>
      <c r="R156" s="2" t="s">
        <v>699</v>
      </c>
      <c r="Y156" s="23" t="s">
        <v>730</v>
      </c>
    </row>
    <row r="157" spans="1:25" x14ac:dyDescent="0.25">
      <c r="A157" s="4">
        <v>156</v>
      </c>
      <c r="B157" s="4">
        <v>70818703</v>
      </c>
      <c r="C157" s="4" t="s">
        <v>143</v>
      </c>
      <c r="D157" s="4" t="s">
        <v>166</v>
      </c>
      <c r="E157" s="4" t="s">
        <v>165</v>
      </c>
      <c r="F157" s="4" t="s">
        <v>166</v>
      </c>
      <c r="G157" s="4" t="s">
        <v>167</v>
      </c>
      <c r="H157" s="4" t="s">
        <v>408</v>
      </c>
      <c r="I157" s="4" t="s">
        <v>567</v>
      </c>
      <c r="J157" s="4" t="s">
        <v>553</v>
      </c>
      <c r="R157" s="2" t="s">
        <v>699</v>
      </c>
      <c r="Y157" s="23" t="s">
        <v>731</v>
      </c>
    </row>
    <row r="158" spans="1:25" x14ac:dyDescent="0.25">
      <c r="A158" s="4">
        <v>157</v>
      </c>
      <c r="B158" s="4">
        <v>70818701</v>
      </c>
      <c r="C158" s="4" t="s">
        <v>143</v>
      </c>
      <c r="D158" s="4" t="s">
        <v>169</v>
      </c>
      <c r="E158" s="4" t="s">
        <v>168</v>
      </c>
      <c r="F158" s="4" t="s">
        <v>169</v>
      </c>
      <c r="G158" s="4" t="s">
        <v>170</v>
      </c>
      <c r="H158" s="4" t="s">
        <v>428</v>
      </c>
      <c r="I158" s="4" t="s">
        <v>567</v>
      </c>
      <c r="J158" s="4" t="s">
        <v>553</v>
      </c>
      <c r="R158" s="2" t="s">
        <v>699</v>
      </c>
      <c r="Y158" s="23" t="s">
        <v>732</v>
      </c>
    </row>
    <row r="159" spans="1:25" x14ac:dyDescent="0.25">
      <c r="A159" s="4">
        <v>158</v>
      </c>
      <c r="B159" s="4">
        <v>70833117</v>
      </c>
      <c r="C159" s="4" t="s">
        <v>143</v>
      </c>
      <c r="D159" s="4" t="s">
        <v>172</v>
      </c>
      <c r="E159" s="4" t="s">
        <v>171</v>
      </c>
      <c r="F159" s="4" t="s">
        <v>172</v>
      </c>
      <c r="G159" s="4" t="s">
        <v>173</v>
      </c>
      <c r="H159" s="4" t="s">
        <v>427</v>
      </c>
      <c r="I159" s="4" t="s">
        <v>567</v>
      </c>
      <c r="J159" s="4" t="s">
        <v>553</v>
      </c>
      <c r="R159" s="2" t="s">
        <v>699</v>
      </c>
      <c r="Y159" s="23" t="s">
        <v>733</v>
      </c>
    </row>
    <row r="160" spans="1:25" x14ac:dyDescent="0.25">
      <c r="A160" s="4">
        <v>159</v>
      </c>
      <c r="B160" s="4">
        <v>70833116</v>
      </c>
      <c r="C160" s="4" t="s">
        <v>143</v>
      </c>
      <c r="D160" s="4" t="s">
        <v>175</v>
      </c>
      <c r="E160" s="4" t="s">
        <v>174</v>
      </c>
      <c r="F160" s="4" t="s">
        <v>175</v>
      </c>
      <c r="G160" s="4" t="s">
        <v>176</v>
      </c>
      <c r="H160" s="4" t="s">
        <v>408</v>
      </c>
      <c r="I160" s="4" t="s">
        <v>567</v>
      </c>
      <c r="J160" s="4" t="s">
        <v>553</v>
      </c>
      <c r="R160" s="2" t="s">
        <v>699</v>
      </c>
      <c r="Y160" s="23" t="s">
        <v>734</v>
      </c>
    </row>
    <row r="161" spans="1:25" x14ac:dyDescent="0.25">
      <c r="A161" s="4">
        <v>160</v>
      </c>
      <c r="B161" s="4">
        <v>70833114</v>
      </c>
      <c r="C161" s="4" t="s">
        <v>143</v>
      </c>
      <c r="D161" s="4" t="s">
        <v>182</v>
      </c>
      <c r="E161" s="4" t="s">
        <v>181</v>
      </c>
      <c r="F161" s="4" t="s">
        <v>182</v>
      </c>
      <c r="G161" s="4" t="s">
        <v>183</v>
      </c>
      <c r="H161" s="4" t="s">
        <v>408</v>
      </c>
      <c r="I161" s="4" t="s">
        <v>567</v>
      </c>
      <c r="J161" s="4" t="s">
        <v>553</v>
      </c>
      <c r="R161" s="2" t="s">
        <v>699</v>
      </c>
      <c r="Y161" s="23" t="s">
        <v>735</v>
      </c>
    </row>
    <row r="162" spans="1:25" x14ac:dyDescent="0.25">
      <c r="A162" s="4">
        <v>161</v>
      </c>
      <c r="B162" s="4">
        <v>70850829</v>
      </c>
      <c r="C162" s="4" t="s">
        <v>143</v>
      </c>
      <c r="D162" s="4" t="s">
        <v>519</v>
      </c>
      <c r="E162" s="4" t="s">
        <v>513</v>
      </c>
      <c r="F162" s="4" t="s">
        <v>519</v>
      </c>
      <c r="G162" s="4" t="s">
        <v>516</v>
      </c>
      <c r="H162" s="4" t="s">
        <v>552</v>
      </c>
      <c r="I162" s="4" t="s">
        <v>567</v>
      </c>
      <c r="J162" s="4" t="s">
        <v>553</v>
      </c>
      <c r="R162" s="2" t="s">
        <v>699</v>
      </c>
      <c r="Y162" s="23" t="s">
        <v>736</v>
      </c>
    </row>
    <row r="163" spans="1:25" x14ac:dyDescent="0.25">
      <c r="A163" s="4">
        <v>162</v>
      </c>
      <c r="B163" s="4">
        <v>70850830</v>
      </c>
      <c r="C163" s="4" t="s">
        <v>143</v>
      </c>
      <c r="D163" s="4" t="s">
        <v>520</v>
      </c>
      <c r="E163" s="4" t="s">
        <v>514</v>
      </c>
      <c r="F163" s="4" t="s">
        <v>520</v>
      </c>
      <c r="G163" s="4" t="s">
        <v>517</v>
      </c>
      <c r="H163" s="4" t="s">
        <v>408</v>
      </c>
      <c r="I163" s="4" t="s">
        <v>567</v>
      </c>
      <c r="J163" s="4" t="s">
        <v>553</v>
      </c>
      <c r="R163" s="2" t="s">
        <v>699</v>
      </c>
      <c r="Y163" s="23" t="s">
        <v>737</v>
      </c>
    </row>
    <row r="164" spans="1:25" x14ac:dyDescent="0.25">
      <c r="A164" s="4">
        <v>163</v>
      </c>
      <c r="B164" s="4">
        <v>70850831</v>
      </c>
      <c r="C164" s="4" t="s">
        <v>143</v>
      </c>
      <c r="D164" s="4" t="s">
        <v>521</v>
      </c>
      <c r="E164" s="4" t="s">
        <v>515</v>
      </c>
      <c r="F164" s="4" t="s">
        <v>521</v>
      </c>
      <c r="G164" s="4" t="s">
        <v>518</v>
      </c>
      <c r="H164" s="4" t="s">
        <v>408</v>
      </c>
      <c r="I164" s="4" t="s">
        <v>567</v>
      </c>
      <c r="J164" s="4" t="s">
        <v>553</v>
      </c>
      <c r="R164" s="2" t="s">
        <v>699</v>
      </c>
      <c r="Y164" s="23" t="s">
        <v>738</v>
      </c>
    </row>
    <row r="165" spans="1:25" x14ac:dyDescent="0.25">
      <c r="A165" s="4">
        <v>164</v>
      </c>
      <c r="B165" s="4">
        <v>70818118</v>
      </c>
      <c r="C165" s="4" t="s">
        <v>210</v>
      </c>
      <c r="D165" s="4" t="s">
        <v>212</v>
      </c>
      <c r="E165" s="4" t="s">
        <v>211</v>
      </c>
      <c r="F165" s="4" t="s">
        <v>212</v>
      </c>
      <c r="G165" s="4" t="s">
        <v>213</v>
      </c>
      <c r="H165" s="4" t="s">
        <v>617</v>
      </c>
      <c r="I165" s="4" t="s">
        <v>568</v>
      </c>
      <c r="J165" s="4" t="s">
        <v>553</v>
      </c>
      <c r="K165" s="17"/>
      <c r="L165" s="17"/>
      <c r="M165" s="10"/>
      <c r="R165" s="2" t="s">
        <v>700</v>
      </c>
      <c r="Y165" s="23" t="s">
        <v>739</v>
      </c>
    </row>
    <row r="166" spans="1:25" x14ac:dyDescent="0.25">
      <c r="A166" s="4">
        <v>165</v>
      </c>
      <c r="B166" s="4">
        <v>70818119</v>
      </c>
      <c r="C166" s="4" t="s">
        <v>210</v>
      </c>
      <c r="D166" s="4" t="s">
        <v>215</v>
      </c>
      <c r="E166" s="4" t="s">
        <v>214</v>
      </c>
      <c r="F166" s="4" t="s">
        <v>215</v>
      </c>
      <c r="G166" s="4" t="s">
        <v>216</v>
      </c>
      <c r="H166" s="4" t="s">
        <v>618</v>
      </c>
      <c r="I166" s="4" t="s">
        <v>568</v>
      </c>
      <c r="J166" s="4" t="s">
        <v>553</v>
      </c>
      <c r="K166" s="17"/>
      <c r="L166" s="17"/>
      <c r="M166" s="10"/>
      <c r="R166" s="2" t="s">
        <v>700</v>
      </c>
      <c r="Y166" s="23" t="s">
        <v>740</v>
      </c>
    </row>
    <row r="167" spans="1:25" x14ac:dyDescent="0.25">
      <c r="A167" s="4">
        <v>166</v>
      </c>
      <c r="B167" s="4">
        <v>70818122</v>
      </c>
      <c r="C167" s="4" t="s">
        <v>210</v>
      </c>
      <c r="D167" s="4" t="s">
        <v>218</v>
      </c>
      <c r="E167" s="4" t="s">
        <v>217</v>
      </c>
      <c r="F167" s="4" t="s">
        <v>218</v>
      </c>
      <c r="G167" s="4" t="s">
        <v>372</v>
      </c>
      <c r="H167" s="4" t="s">
        <v>542</v>
      </c>
      <c r="I167" s="4" t="s">
        <v>568</v>
      </c>
      <c r="J167" s="4" t="s">
        <v>553</v>
      </c>
      <c r="R167" s="2" t="s">
        <v>700</v>
      </c>
      <c r="Y167" s="23" t="s">
        <v>741</v>
      </c>
    </row>
    <row r="168" spans="1:25" x14ac:dyDescent="0.25">
      <c r="A168" s="4">
        <v>167</v>
      </c>
      <c r="B168" s="4">
        <v>70818121</v>
      </c>
      <c r="C168" s="4" t="s">
        <v>210</v>
      </c>
      <c r="D168" s="4" t="s">
        <v>220</v>
      </c>
      <c r="E168" s="4" t="s">
        <v>219</v>
      </c>
      <c r="F168" s="4" t="s">
        <v>220</v>
      </c>
      <c r="G168" s="4" t="s">
        <v>221</v>
      </c>
      <c r="H168" s="4" t="s">
        <v>619</v>
      </c>
      <c r="I168" s="4" t="s">
        <v>568</v>
      </c>
      <c r="J168" s="4" t="s">
        <v>553</v>
      </c>
      <c r="R168" s="2" t="s">
        <v>700</v>
      </c>
      <c r="Y168" s="23" t="s">
        <v>742</v>
      </c>
    </row>
    <row r="169" spans="1:25" x14ac:dyDescent="0.25">
      <c r="A169" s="4">
        <v>168</v>
      </c>
      <c r="B169" s="4">
        <v>70818124</v>
      </c>
      <c r="C169" s="4" t="s">
        <v>210</v>
      </c>
      <c r="D169" s="4" t="s">
        <v>223</v>
      </c>
      <c r="E169" s="4" t="s">
        <v>222</v>
      </c>
      <c r="F169" s="4" t="s">
        <v>223</v>
      </c>
      <c r="G169" s="4" t="s">
        <v>224</v>
      </c>
      <c r="H169" s="4" t="s">
        <v>620</v>
      </c>
      <c r="I169" s="4" t="s">
        <v>568</v>
      </c>
      <c r="J169" s="4" t="s">
        <v>553</v>
      </c>
      <c r="K169" s="18"/>
      <c r="R169" s="2" t="s">
        <v>700</v>
      </c>
      <c r="Y169" s="23" t="s">
        <v>743</v>
      </c>
    </row>
    <row r="170" spans="1:25" x14ac:dyDescent="0.25">
      <c r="A170" s="4">
        <v>169</v>
      </c>
      <c r="B170" s="4">
        <v>70818123</v>
      </c>
      <c r="C170" s="4" t="s">
        <v>210</v>
      </c>
      <c r="D170" s="4" t="s">
        <v>226</v>
      </c>
      <c r="E170" s="4" t="s">
        <v>225</v>
      </c>
      <c r="F170" s="4" t="s">
        <v>226</v>
      </c>
      <c r="G170" s="4" t="s">
        <v>227</v>
      </c>
      <c r="H170" s="4" t="s">
        <v>621</v>
      </c>
      <c r="I170" s="4" t="s">
        <v>568</v>
      </c>
      <c r="J170" s="4" t="s">
        <v>553</v>
      </c>
      <c r="K170" s="18"/>
      <c r="R170" s="2" t="s">
        <v>700</v>
      </c>
      <c r="Y170" s="23" t="s">
        <v>744</v>
      </c>
    </row>
    <row r="171" spans="1:25" x14ac:dyDescent="0.25">
      <c r="A171" s="4">
        <v>170</v>
      </c>
      <c r="B171" s="4">
        <v>70818120</v>
      </c>
      <c r="C171" s="4" t="s">
        <v>210</v>
      </c>
      <c r="D171" s="4" t="s">
        <v>209</v>
      </c>
      <c r="E171" s="4" t="s">
        <v>371</v>
      </c>
      <c r="F171" s="4" t="s">
        <v>209</v>
      </c>
      <c r="G171" s="4" t="s">
        <v>370</v>
      </c>
      <c r="H171" s="4" t="s">
        <v>622</v>
      </c>
      <c r="I171" s="4" t="s">
        <v>568</v>
      </c>
      <c r="J171" s="4" t="s">
        <v>553</v>
      </c>
      <c r="R171" s="2" t="s">
        <v>700</v>
      </c>
      <c r="Y171" s="23" t="s">
        <v>745</v>
      </c>
    </row>
    <row r="172" spans="1:25" ht="13.9" customHeight="1" x14ac:dyDescent="0.25">
      <c r="A172" s="4">
        <v>171</v>
      </c>
      <c r="B172" s="4">
        <v>70857972</v>
      </c>
      <c r="C172" s="4" t="s">
        <v>636</v>
      </c>
      <c r="D172" s="4" t="s">
        <v>671</v>
      </c>
      <c r="E172" s="4" t="s">
        <v>672</v>
      </c>
      <c r="F172" s="4" t="s">
        <v>671</v>
      </c>
      <c r="G172" s="4" t="s">
        <v>673</v>
      </c>
      <c r="H172" s="4"/>
      <c r="I172" s="4" t="s">
        <v>646</v>
      </c>
      <c r="J172" s="4" t="s">
        <v>553</v>
      </c>
      <c r="R172" s="2" t="s">
        <v>701</v>
      </c>
      <c r="Y172" s="23" t="s">
        <v>746</v>
      </c>
    </row>
    <row r="173" spans="1:25" ht="13.9" customHeight="1" x14ac:dyDescent="0.25">
      <c r="A173" s="4">
        <v>172</v>
      </c>
      <c r="B173" s="4">
        <v>70857971</v>
      </c>
      <c r="C173" s="4" t="s">
        <v>636</v>
      </c>
      <c r="D173" s="4" t="s">
        <v>674</v>
      </c>
      <c r="E173" s="4" t="s">
        <v>678</v>
      </c>
      <c r="F173" s="4" t="s">
        <v>674</v>
      </c>
      <c r="G173" s="4" t="s">
        <v>677</v>
      </c>
      <c r="H173" s="4"/>
      <c r="I173" s="4" t="s">
        <v>646</v>
      </c>
      <c r="J173" s="4" t="s">
        <v>553</v>
      </c>
      <c r="R173" s="2" t="s">
        <v>701</v>
      </c>
      <c r="Y173" s="23" t="s">
        <v>747</v>
      </c>
    </row>
    <row r="174" spans="1:25" ht="13.9" customHeight="1" x14ac:dyDescent="0.25">
      <c r="A174" s="4">
        <v>173</v>
      </c>
      <c r="B174" s="4">
        <v>70857970</v>
      </c>
      <c r="C174" s="4" t="s">
        <v>636</v>
      </c>
      <c r="D174" s="4" t="s">
        <v>675</v>
      </c>
      <c r="E174" s="4" t="s">
        <v>679</v>
      </c>
      <c r="F174" s="4" t="s">
        <v>675</v>
      </c>
      <c r="G174" s="4" t="s">
        <v>680</v>
      </c>
      <c r="H174" s="4"/>
      <c r="I174" s="4" t="s">
        <v>646</v>
      </c>
      <c r="J174" s="4" t="s">
        <v>553</v>
      </c>
      <c r="R174" s="2" t="s">
        <v>701</v>
      </c>
      <c r="Y174" s="23" t="s">
        <v>748</v>
      </c>
    </row>
    <row r="175" spans="1:25" ht="13.9" customHeight="1" x14ac:dyDescent="0.25">
      <c r="A175" s="4">
        <v>174</v>
      </c>
      <c r="B175" s="4">
        <v>70857969</v>
      </c>
      <c r="C175" s="4" t="s">
        <v>636</v>
      </c>
      <c r="D175" s="4" t="s">
        <v>676</v>
      </c>
      <c r="E175" s="4" t="s">
        <v>681</v>
      </c>
      <c r="F175" s="4" t="s">
        <v>676</v>
      </c>
      <c r="G175" s="4" t="s">
        <v>682</v>
      </c>
      <c r="H175" s="4"/>
      <c r="I175" s="4" t="s">
        <v>646</v>
      </c>
      <c r="J175" s="4" t="s">
        <v>553</v>
      </c>
      <c r="R175" s="2" t="s">
        <v>701</v>
      </c>
      <c r="Y175" s="23" t="s">
        <v>749</v>
      </c>
    </row>
    <row r="176" spans="1:25" x14ac:dyDescent="0.25">
      <c r="A176" s="4">
        <v>175</v>
      </c>
      <c r="B176" s="4">
        <v>70858025</v>
      </c>
      <c r="C176" s="4" t="s">
        <v>636</v>
      </c>
      <c r="D176" s="4" t="s">
        <v>704</v>
      </c>
      <c r="E176" s="4" t="s">
        <v>640</v>
      </c>
      <c r="F176" s="4" t="s">
        <v>704</v>
      </c>
      <c r="G176" s="4" t="s">
        <v>640</v>
      </c>
      <c r="H176" s="4"/>
      <c r="I176" s="4" t="s">
        <v>646</v>
      </c>
      <c r="J176" s="4" t="s">
        <v>553</v>
      </c>
      <c r="R176" s="2" t="s">
        <v>701</v>
      </c>
      <c r="Y176" s="23" t="s">
        <v>750</v>
      </c>
    </row>
    <row r="177" spans="1:25" x14ac:dyDescent="0.25">
      <c r="A177" s="4">
        <v>176</v>
      </c>
      <c r="B177" s="4">
        <v>70858023</v>
      </c>
      <c r="C177" s="4" t="s">
        <v>636</v>
      </c>
      <c r="D177" s="4" t="s">
        <v>705</v>
      </c>
      <c r="E177" s="4" t="s">
        <v>641</v>
      </c>
      <c r="F177" s="4" t="s">
        <v>705</v>
      </c>
      <c r="G177" s="4" t="s">
        <v>641</v>
      </c>
      <c r="H177" s="4"/>
      <c r="I177" s="4" t="s">
        <v>646</v>
      </c>
      <c r="J177" s="4" t="s">
        <v>553</v>
      </c>
      <c r="R177" s="2" t="s">
        <v>701</v>
      </c>
      <c r="Y177" s="23" t="s">
        <v>751</v>
      </c>
    </row>
    <row r="178" spans="1:25" x14ac:dyDescent="0.25">
      <c r="A178" s="4">
        <v>177</v>
      </c>
      <c r="B178" s="4">
        <v>70858024</v>
      </c>
      <c r="C178" s="4" t="s">
        <v>636</v>
      </c>
      <c r="D178" s="4" t="s">
        <v>706</v>
      </c>
      <c r="E178" s="4" t="s">
        <v>642</v>
      </c>
      <c r="F178" s="4" t="s">
        <v>706</v>
      </c>
      <c r="G178" s="4" t="s">
        <v>642</v>
      </c>
      <c r="H178" s="4"/>
      <c r="I178" s="4" t="s">
        <v>646</v>
      </c>
      <c r="J178" s="4" t="s">
        <v>553</v>
      </c>
      <c r="R178" s="2" t="s">
        <v>701</v>
      </c>
      <c r="Y178" s="23" t="s">
        <v>752</v>
      </c>
    </row>
    <row r="179" spans="1:25" x14ac:dyDescent="0.25">
      <c r="D179" s="12"/>
      <c r="F179" s="12"/>
      <c r="Y179" s="23" t="s">
        <v>753</v>
      </c>
    </row>
    <row r="180" spans="1:25" x14ac:dyDescent="0.25">
      <c r="D180" s="12"/>
      <c r="F180" s="12"/>
      <c r="Y180" s="23" t="s">
        <v>754</v>
      </c>
    </row>
    <row r="181" spans="1:25" x14ac:dyDescent="0.25">
      <c r="D181" s="12"/>
      <c r="F181" s="12"/>
      <c r="Y181" s="23" t="s">
        <v>755</v>
      </c>
    </row>
    <row r="182" spans="1:25" x14ac:dyDescent="0.25">
      <c r="D182" s="12"/>
      <c r="F182" s="12"/>
      <c r="Y182" s="23" t="s">
        <v>756</v>
      </c>
    </row>
    <row r="183" spans="1:25" x14ac:dyDescent="0.25">
      <c r="D183" s="12"/>
      <c r="F183" s="12"/>
      <c r="Y183" s="23" t="s">
        <v>757</v>
      </c>
    </row>
    <row r="184" spans="1:25" x14ac:dyDescent="0.25">
      <c r="D184" s="12"/>
      <c r="F184" s="12"/>
      <c r="Y184" s="23" t="s">
        <v>758</v>
      </c>
    </row>
    <row r="185" spans="1:25" x14ac:dyDescent="0.25">
      <c r="Y185" s="23" t="s">
        <v>759</v>
      </c>
    </row>
    <row r="186" spans="1:25" x14ac:dyDescent="0.25">
      <c r="Y186" s="23" t="s">
        <v>760</v>
      </c>
    </row>
    <row r="187" spans="1:25" x14ac:dyDescent="0.25">
      <c r="Y187" s="23" t="s">
        <v>761</v>
      </c>
    </row>
    <row r="188" spans="1:25" x14ac:dyDescent="0.25">
      <c r="Y188" s="23" t="s">
        <v>762</v>
      </c>
    </row>
    <row r="189" spans="1:25" x14ac:dyDescent="0.25">
      <c r="Y189" s="23" t="s">
        <v>763</v>
      </c>
    </row>
    <row r="190" spans="1:25" x14ac:dyDescent="0.25">
      <c r="Y190" s="23" t="s">
        <v>764</v>
      </c>
    </row>
    <row r="191" spans="1:25" x14ac:dyDescent="0.25">
      <c r="Y191" s="23" t="s">
        <v>765</v>
      </c>
    </row>
    <row r="192" spans="1:25" x14ac:dyDescent="0.25">
      <c r="Y192" s="23" t="s">
        <v>766</v>
      </c>
    </row>
    <row r="193" spans="25:25" x14ac:dyDescent="0.25">
      <c r="Y193" s="23" t="s">
        <v>767</v>
      </c>
    </row>
    <row r="194" spans="25:25" x14ac:dyDescent="0.25">
      <c r="Y194" s="23" t="s">
        <v>768</v>
      </c>
    </row>
    <row r="195" spans="25:25" x14ac:dyDescent="0.25">
      <c r="Y195" s="23" t="s">
        <v>769</v>
      </c>
    </row>
    <row r="196" spans="25:25" x14ac:dyDescent="0.25">
      <c r="Y196" s="23" t="s">
        <v>770</v>
      </c>
    </row>
    <row r="197" spans="25:25" x14ac:dyDescent="0.25">
      <c r="Y197" s="23" t="s">
        <v>771</v>
      </c>
    </row>
    <row r="198" spans="25:25" x14ac:dyDescent="0.25">
      <c r="Y198" s="23" t="s">
        <v>772</v>
      </c>
    </row>
    <row r="199" spans="25:25" x14ac:dyDescent="0.25">
      <c r="Y199" s="23" t="s">
        <v>773</v>
      </c>
    </row>
    <row r="200" spans="25:25" x14ac:dyDescent="0.25">
      <c r="Y200" s="23" t="s">
        <v>774</v>
      </c>
    </row>
    <row r="201" spans="25:25" x14ac:dyDescent="0.25">
      <c r="Y201" s="23" t="s">
        <v>775</v>
      </c>
    </row>
    <row r="202" spans="25:25" x14ac:dyDescent="0.25">
      <c r="Y202" s="23" t="s">
        <v>776</v>
      </c>
    </row>
    <row r="203" spans="25:25" x14ac:dyDescent="0.25">
      <c r="Y203" s="23" t="s">
        <v>777</v>
      </c>
    </row>
    <row r="204" spans="25:25" x14ac:dyDescent="0.25">
      <c r="Y204" s="23" t="s">
        <v>778</v>
      </c>
    </row>
    <row r="205" spans="25:25" x14ac:dyDescent="0.25">
      <c r="Y205" s="23" t="s">
        <v>779</v>
      </c>
    </row>
    <row r="206" spans="25:25" x14ac:dyDescent="0.25">
      <c r="Y206" s="23" t="s">
        <v>780</v>
      </c>
    </row>
    <row r="207" spans="25:25" x14ac:dyDescent="0.25">
      <c r="Y207" s="23" t="s">
        <v>781</v>
      </c>
    </row>
    <row r="208" spans="25:25" x14ac:dyDescent="0.25">
      <c r="Y208" s="23" t="s">
        <v>782</v>
      </c>
    </row>
    <row r="209" spans="25:25" x14ac:dyDescent="0.25">
      <c r="Y209" s="23" t="s">
        <v>783</v>
      </c>
    </row>
    <row r="210" spans="25:25" x14ac:dyDescent="0.25">
      <c r="Y210" s="23" t="s">
        <v>784</v>
      </c>
    </row>
    <row r="211" spans="25:25" x14ac:dyDescent="0.25">
      <c r="Y211" s="23" t="s">
        <v>785</v>
      </c>
    </row>
    <row r="212" spans="25:25" x14ac:dyDescent="0.25">
      <c r="Y212" s="23" t="s">
        <v>786</v>
      </c>
    </row>
    <row r="213" spans="25:25" x14ac:dyDescent="0.25">
      <c r="Y213" s="23" t="s">
        <v>787</v>
      </c>
    </row>
    <row r="214" spans="25:25" x14ac:dyDescent="0.25">
      <c r="Y214" s="23" t="s">
        <v>788</v>
      </c>
    </row>
    <row r="215" spans="25:25" x14ac:dyDescent="0.25">
      <c r="Y215" s="23" t="s">
        <v>789</v>
      </c>
    </row>
    <row r="216" spans="25:25" x14ac:dyDescent="0.25">
      <c r="Y216" s="23" t="s">
        <v>790</v>
      </c>
    </row>
    <row r="217" spans="25:25" x14ac:dyDescent="0.25">
      <c r="Y217" s="23" t="s">
        <v>791</v>
      </c>
    </row>
    <row r="218" spans="25:25" x14ac:dyDescent="0.25">
      <c r="Y218" s="23" t="s">
        <v>792</v>
      </c>
    </row>
    <row r="219" spans="25:25" x14ac:dyDescent="0.25">
      <c r="Y219" s="23" t="s">
        <v>793</v>
      </c>
    </row>
    <row r="220" spans="25:25" x14ac:dyDescent="0.25">
      <c r="Y220" s="23" t="s">
        <v>794</v>
      </c>
    </row>
    <row r="221" spans="25:25" x14ac:dyDescent="0.25">
      <c r="Y221" s="23" t="s">
        <v>795</v>
      </c>
    </row>
    <row r="222" spans="25:25" x14ac:dyDescent="0.25">
      <c r="Y222" s="23" t="s">
        <v>796</v>
      </c>
    </row>
    <row r="223" spans="25:25" x14ac:dyDescent="0.25">
      <c r="Y223" s="23" t="s">
        <v>797</v>
      </c>
    </row>
    <row r="224" spans="25:25" x14ac:dyDescent="0.25">
      <c r="Y224" s="23" t="s">
        <v>798</v>
      </c>
    </row>
    <row r="225" spans="25:25" x14ac:dyDescent="0.25">
      <c r="Y225" s="23" t="s">
        <v>799</v>
      </c>
    </row>
    <row r="226" spans="25:25" x14ac:dyDescent="0.25">
      <c r="Y226" s="23" t="s">
        <v>800</v>
      </c>
    </row>
    <row r="227" spans="25:25" x14ac:dyDescent="0.25">
      <c r="Y227" s="23" t="s">
        <v>801</v>
      </c>
    </row>
    <row r="228" spans="25:25" x14ac:dyDescent="0.25">
      <c r="Y228" s="23" t="s">
        <v>802</v>
      </c>
    </row>
    <row r="229" spans="25:25" x14ac:dyDescent="0.25">
      <c r="Y229" s="23" t="s">
        <v>803</v>
      </c>
    </row>
    <row r="230" spans="25:25" x14ac:dyDescent="0.25">
      <c r="Y230" s="23" t="s">
        <v>804</v>
      </c>
    </row>
    <row r="231" spans="25:25" x14ac:dyDescent="0.25">
      <c r="Y231" s="23" t="s">
        <v>805</v>
      </c>
    </row>
    <row r="232" spans="25:25" x14ac:dyDescent="0.25">
      <c r="Y232" s="23" t="s">
        <v>806</v>
      </c>
    </row>
    <row r="233" spans="25:25" x14ac:dyDescent="0.25">
      <c r="Y233" s="23" t="s">
        <v>807</v>
      </c>
    </row>
    <row r="234" spans="25:25" x14ac:dyDescent="0.25">
      <c r="Y234" s="23" t="s">
        <v>808</v>
      </c>
    </row>
    <row r="235" spans="25:25" x14ac:dyDescent="0.25">
      <c r="Y235" s="23" t="s">
        <v>809</v>
      </c>
    </row>
    <row r="236" spans="25:25" x14ac:dyDescent="0.25">
      <c r="Y236" s="23" t="s">
        <v>810</v>
      </c>
    </row>
    <row r="237" spans="25:25" x14ac:dyDescent="0.25">
      <c r="Y237" s="23" t="s">
        <v>811</v>
      </c>
    </row>
    <row r="238" spans="25:25" x14ac:dyDescent="0.25">
      <c r="Y238" s="23" t="s">
        <v>812</v>
      </c>
    </row>
    <row r="239" spans="25:25" x14ac:dyDescent="0.25">
      <c r="Y239" s="23" t="s">
        <v>813</v>
      </c>
    </row>
    <row r="240" spans="25:25" x14ac:dyDescent="0.25">
      <c r="Y240" s="23" t="s">
        <v>814</v>
      </c>
    </row>
    <row r="241" spans="25:25" x14ac:dyDescent="0.25">
      <c r="Y241" s="23" t="s">
        <v>815</v>
      </c>
    </row>
    <row r="242" spans="25:25" x14ac:dyDescent="0.25">
      <c r="Y242" s="23" t="s">
        <v>816</v>
      </c>
    </row>
    <row r="243" spans="25:25" x14ac:dyDescent="0.25">
      <c r="Y243" s="23" t="s">
        <v>817</v>
      </c>
    </row>
    <row r="244" spans="25:25" x14ac:dyDescent="0.25">
      <c r="Y244" s="23" t="s">
        <v>818</v>
      </c>
    </row>
    <row r="245" spans="25:25" x14ac:dyDescent="0.25">
      <c r="Y245" s="23" t="s">
        <v>819</v>
      </c>
    </row>
    <row r="246" spans="25:25" x14ac:dyDescent="0.25">
      <c r="Y246" s="23" t="s">
        <v>820</v>
      </c>
    </row>
    <row r="247" spans="25:25" x14ac:dyDescent="0.25">
      <c r="Y247" s="23" t="s">
        <v>821</v>
      </c>
    </row>
    <row r="248" spans="25:25" x14ac:dyDescent="0.25">
      <c r="Y248" s="23" t="s">
        <v>822</v>
      </c>
    </row>
    <row r="249" spans="25:25" x14ac:dyDescent="0.25">
      <c r="Y249" s="23" t="s">
        <v>823</v>
      </c>
    </row>
    <row r="250" spans="25:25" x14ac:dyDescent="0.25">
      <c r="Y250" s="23" t="s">
        <v>824</v>
      </c>
    </row>
    <row r="251" spans="25:25" x14ac:dyDescent="0.25">
      <c r="Y251" s="23" t="s">
        <v>825</v>
      </c>
    </row>
    <row r="252" spans="25:25" x14ac:dyDescent="0.25">
      <c r="Y252" s="23" t="s">
        <v>826</v>
      </c>
    </row>
    <row r="253" spans="25:25" x14ac:dyDescent="0.25">
      <c r="Y253" s="23" t="s">
        <v>827</v>
      </c>
    </row>
    <row r="254" spans="25:25" x14ac:dyDescent="0.25">
      <c r="Y254" s="23" t="s">
        <v>828</v>
      </c>
    </row>
    <row r="255" spans="25:25" x14ac:dyDescent="0.25">
      <c r="Y255" s="23" t="s">
        <v>829</v>
      </c>
    </row>
    <row r="256" spans="25:25" x14ac:dyDescent="0.25">
      <c r="Y256" s="23" t="s">
        <v>830</v>
      </c>
    </row>
    <row r="257" spans="25:25" x14ac:dyDescent="0.25">
      <c r="Y257" s="23" t="s">
        <v>831</v>
      </c>
    </row>
    <row r="258" spans="25:25" x14ac:dyDescent="0.25">
      <c r="Y258" s="23" t="s">
        <v>832</v>
      </c>
    </row>
    <row r="259" spans="25:25" x14ac:dyDescent="0.25">
      <c r="Y259" s="23" t="s">
        <v>833</v>
      </c>
    </row>
    <row r="260" spans="25:25" x14ac:dyDescent="0.25">
      <c r="Y260" s="23" t="s">
        <v>834</v>
      </c>
    </row>
    <row r="261" spans="25:25" x14ac:dyDescent="0.25">
      <c r="Y261" s="23" t="s">
        <v>835</v>
      </c>
    </row>
    <row r="262" spans="25:25" x14ac:dyDescent="0.25">
      <c r="Y262" s="23" t="s">
        <v>836</v>
      </c>
    </row>
    <row r="263" spans="25:25" x14ac:dyDescent="0.25">
      <c r="Y263" s="23" t="s">
        <v>837</v>
      </c>
    </row>
    <row r="264" spans="25:25" x14ac:dyDescent="0.25">
      <c r="Y264" s="23" t="s">
        <v>838</v>
      </c>
    </row>
    <row r="265" spans="25:25" x14ac:dyDescent="0.25">
      <c r="Y265" s="23" t="s">
        <v>839</v>
      </c>
    </row>
    <row r="266" spans="25:25" x14ac:dyDescent="0.25">
      <c r="Y266" s="23" t="s">
        <v>840</v>
      </c>
    </row>
    <row r="267" spans="25:25" x14ac:dyDescent="0.25">
      <c r="Y267" s="23" t="s">
        <v>841</v>
      </c>
    </row>
    <row r="268" spans="25:25" x14ac:dyDescent="0.25">
      <c r="Y268" s="23" t="s">
        <v>842</v>
      </c>
    </row>
    <row r="269" spans="25:25" x14ac:dyDescent="0.25">
      <c r="Y269" s="23" t="s">
        <v>843</v>
      </c>
    </row>
    <row r="270" spans="25:25" x14ac:dyDescent="0.25">
      <c r="Y270" s="23" t="s">
        <v>844</v>
      </c>
    </row>
    <row r="271" spans="25:25" x14ac:dyDescent="0.25">
      <c r="Y271" s="23" t="s">
        <v>845</v>
      </c>
    </row>
    <row r="272" spans="25:25" x14ac:dyDescent="0.25">
      <c r="Y272" s="23" t="s">
        <v>846</v>
      </c>
    </row>
    <row r="273" spans="25:25" x14ac:dyDescent="0.25">
      <c r="Y273" s="23" t="s">
        <v>847</v>
      </c>
    </row>
    <row r="274" spans="25:25" x14ac:dyDescent="0.25">
      <c r="Y274" s="23" t="s">
        <v>848</v>
      </c>
    </row>
    <row r="275" spans="25:25" x14ac:dyDescent="0.25">
      <c r="Y275" s="23" t="s">
        <v>849</v>
      </c>
    </row>
    <row r="276" spans="25:25" x14ac:dyDescent="0.25">
      <c r="Y276" s="23" t="s">
        <v>850</v>
      </c>
    </row>
    <row r="277" spans="25:25" x14ac:dyDescent="0.25">
      <c r="Y277" s="23" t="s">
        <v>851</v>
      </c>
    </row>
    <row r="278" spans="25:25" x14ac:dyDescent="0.25">
      <c r="Y278" s="23" t="s">
        <v>852</v>
      </c>
    </row>
    <row r="279" spans="25:25" x14ac:dyDescent="0.25">
      <c r="Y279" s="23" t="s">
        <v>853</v>
      </c>
    </row>
    <row r="280" spans="25:25" x14ac:dyDescent="0.25">
      <c r="Y280" s="23" t="s">
        <v>854</v>
      </c>
    </row>
    <row r="281" spans="25:25" x14ac:dyDescent="0.25">
      <c r="Y281" s="23" t="s">
        <v>855</v>
      </c>
    </row>
    <row r="282" spans="25:25" x14ac:dyDescent="0.25">
      <c r="Y282" s="23" t="s">
        <v>856</v>
      </c>
    </row>
    <row r="283" spans="25:25" x14ac:dyDescent="0.25">
      <c r="Y283" s="23" t="s">
        <v>857</v>
      </c>
    </row>
    <row r="284" spans="25:25" x14ac:dyDescent="0.25">
      <c r="Y284" s="23" t="s">
        <v>858</v>
      </c>
    </row>
    <row r="285" spans="25:25" x14ac:dyDescent="0.25">
      <c r="Y285" s="23" t="s">
        <v>859</v>
      </c>
    </row>
    <row r="286" spans="25:25" x14ac:dyDescent="0.25">
      <c r="Y286" s="23" t="s">
        <v>860</v>
      </c>
    </row>
    <row r="287" spans="25:25" x14ac:dyDescent="0.25">
      <c r="Y287" s="23" t="s">
        <v>861</v>
      </c>
    </row>
    <row r="288" spans="25:25" x14ac:dyDescent="0.25">
      <c r="Y288" s="23" t="s">
        <v>862</v>
      </c>
    </row>
    <row r="289" spans="25:25" x14ac:dyDescent="0.25">
      <c r="Y289" s="23" t="s">
        <v>863</v>
      </c>
    </row>
    <row r="290" spans="25:25" x14ac:dyDescent="0.25">
      <c r="Y290" s="23" t="s">
        <v>864</v>
      </c>
    </row>
    <row r="291" spans="25:25" x14ac:dyDescent="0.25">
      <c r="Y291" s="23" t="s">
        <v>865</v>
      </c>
    </row>
    <row r="292" spans="25:25" x14ac:dyDescent="0.25">
      <c r="Y292" s="23" t="s">
        <v>866</v>
      </c>
    </row>
    <row r="293" spans="25:25" x14ac:dyDescent="0.25">
      <c r="Y293" s="23" t="s">
        <v>867</v>
      </c>
    </row>
    <row r="294" spans="25:25" x14ac:dyDescent="0.25">
      <c r="Y294" s="23" t="s">
        <v>868</v>
      </c>
    </row>
    <row r="295" spans="25:25" x14ac:dyDescent="0.25">
      <c r="Y295" s="23" t="s">
        <v>869</v>
      </c>
    </row>
    <row r="296" spans="25:25" x14ac:dyDescent="0.25">
      <c r="Y296" s="23" t="s">
        <v>870</v>
      </c>
    </row>
    <row r="297" spans="25:25" x14ac:dyDescent="0.25">
      <c r="Y297" s="23" t="s">
        <v>871</v>
      </c>
    </row>
    <row r="298" spans="25:25" x14ac:dyDescent="0.25">
      <c r="Y298" s="23" t="s">
        <v>872</v>
      </c>
    </row>
    <row r="299" spans="25:25" x14ac:dyDescent="0.25">
      <c r="Y299" s="23" t="s">
        <v>873</v>
      </c>
    </row>
    <row r="300" spans="25:25" x14ac:dyDescent="0.25">
      <c r="Y300" s="23" t="s">
        <v>874</v>
      </c>
    </row>
    <row r="301" spans="25:25" x14ac:dyDescent="0.25">
      <c r="Y301" s="23" t="s">
        <v>875</v>
      </c>
    </row>
    <row r="302" spans="25:25" x14ac:dyDescent="0.25">
      <c r="Y302" s="23" t="s">
        <v>876</v>
      </c>
    </row>
    <row r="303" spans="25:25" x14ac:dyDescent="0.25">
      <c r="Y303" s="23" t="s">
        <v>877</v>
      </c>
    </row>
    <row r="304" spans="25:25" x14ac:dyDescent="0.25">
      <c r="Y304" s="23" t="s">
        <v>878</v>
      </c>
    </row>
    <row r="305" spans="25:25" x14ac:dyDescent="0.25">
      <c r="Y305" s="23" t="s">
        <v>879</v>
      </c>
    </row>
    <row r="306" spans="25:25" x14ac:dyDescent="0.25">
      <c r="Y306" s="23" t="s">
        <v>880</v>
      </c>
    </row>
    <row r="307" spans="25:25" x14ac:dyDescent="0.25">
      <c r="Y307" s="23" t="s">
        <v>881</v>
      </c>
    </row>
    <row r="308" spans="25:25" x14ac:dyDescent="0.25">
      <c r="Y308" s="23" t="s">
        <v>882</v>
      </c>
    </row>
    <row r="309" spans="25:25" x14ac:dyDescent="0.25">
      <c r="Y309" s="23" t="s">
        <v>883</v>
      </c>
    </row>
    <row r="310" spans="25:25" x14ac:dyDescent="0.25">
      <c r="Y310" s="23" t="s">
        <v>884</v>
      </c>
    </row>
    <row r="311" spans="25:25" x14ac:dyDescent="0.25">
      <c r="Y311" s="23" t="s">
        <v>885</v>
      </c>
    </row>
    <row r="312" spans="25:25" x14ac:dyDescent="0.25">
      <c r="Y312" s="23" t="s">
        <v>886</v>
      </c>
    </row>
    <row r="313" spans="25:25" x14ac:dyDescent="0.25">
      <c r="Y313" s="23" t="s">
        <v>887</v>
      </c>
    </row>
    <row r="314" spans="25:25" x14ac:dyDescent="0.25">
      <c r="Y314" s="23" t="s">
        <v>888</v>
      </c>
    </row>
    <row r="315" spans="25:25" x14ac:dyDescent="0.25">
      <c r="Y315" s="23" t="s">
        <v>889</v>
      </c>
    </row>
    <row r="316" spans="25:25" x14ac:dyDescent="0.25">
      <c r="Y316" s="23" t="s">
        <v>890</v>
      </c>
    </row>
    <row r="317" spans="25:25" x14ac:dyDescent="0.25">
      <c r="Y317" s="23" t="s">
        <v>891</v>
      </c>
    </row>
    <row r="318" spans="25:25" x14ac:dyDescent="0.25">
      <c r="Y318" s="23" t="s">
        <v>892</v>
      </c>
    </row>
    <row r="319" spans="25:25" x14ac:dyDescent="0.25">
      <c r="Y319" s="23" t="s">
        <v>893</v>
      </c>
    </row>
    <row r="320" spans="25:25" x14ac:dyDescent="0.25">
      <c r="Y320" s="23" t="s">
        <v>894</v>
      </c>
    </row>
    <row r="321" spans="25:25" x14ac:dyDescent="0.25">
      <c r="Y321" s="23" t="s">
        <v>895</v>
      </c>
    </row>
    <row r="322" spans="25:25" x14ac:dyDescent="0.25">
      <c r="Y322" s="23" t="s">
        <v>896</v>
      </c>
    </row>
    <row r="323" spans="25:25" x14ac:dyDescent="0.25">
      <c r="Y323" s="23" t="s">
        <v>897</v>
      </c>
    </row>
    <row r="324" spans="25:25" x14ac:dyDescent="0.25">
      <c r="Y324" s="23" t="s">
        <v>898</v>
      </c>
    </row>
    <row r="325" spans="25:25" x14ac:dyDescent="0.25">
      <c r="Y325" s="23" t="s">
        <v>899</v>
      </c>
    </row>
    <row r="326" spans="25:25" x14ac:dyDescent="0.25">
      <c r="Y326" s="23" t="s">
        <v>900</v>
      </c>
    </row>
    <row r="327" spans="25:25" x14ac:dyDescent="0.25">
      <c r="Y327" s="23" t="s">
        <v>901</v>
      </c>
    </row>
    <row r="328" spans="25:25" x14ac:dyDescent="0.25">
      <c r="Y328" s="23" t="s">
        <v>902</v>
      </c>
    </row>
    <row r="329" spans="25:25" x14ac:dyDescent="0.25">
      <c r="Y329" s="23" t="s">
        <v>903</v>
      </c>
    </row>
    <row r="330" spans="25:25" x14ac:dyDescent="0.25">
      <c r="Y330" s="23" t="s">
        <v>904</v>
      </c>
    </row>
    <row r="331" spans="25:25" x14ac:dyDescent="0.25">
      <c r="Y331" s="24" t="s">
        <v>905</v>
      </c>
    </row>
    <row r="332" spans="25:25" x14ac:dyDescent="0.25">
      <c r="Y332" s="24" t="s">
        <v>906</v>
      </c>
    </row>
    <row r="333" spans="25:25" x14ac:dyDescent="0.25">
      <c r="Y333" s="22" t="s">
        <v>714</v>
      </c>
    </row>
    <row r="334" spans="25:25" x14ac:dyDescent="0.25">
      <c r="Y334" s="22" t="s">
        <v>719</v>
      </c>
    </row>
    <row r="335" spans="25:25" x14ac:dyDescent="0.25">
      <c r="Y335" s="22" t="s">
        <v>721</v>
      </c>
    </row>
    <row r="336" spans="25:25" x14ac:dyDescent="0.25">
      <c r="Y336" s="23" t="s">
        <v>723</v>
      </c>
    </row>
    <row r="337" spans="25:25" x14ac:dyDescent="0.25">
      <c r="Y337" s="23" t="s">
        <v>725</v>
      </c>
    </row>
    <row r="338" spans="25:25" x14ac:dyDescent="0.25">
      <c r="Y338" s="23" t="s">
        <v>729</v>
      </c>
    </row>
    <row r="339" spans="25:25" x14ac:dyDescent="0.25">
      <c r="Y339" s="23" t="s">
        <v>730</v>
      </c>
    </row>
    <row r="340" spans="25:25" x14ac:dyDescent="0.25">
      <c r="Y340" s="23" t="s">
        <v>731</v>
      </c>
    </row>
    <row r="341" spans="25:25" x14ac:dyDescent="0.25">
      <c r="Y341" s="23" t="s">
        <v>732</v>
      </c>
    </row>
    <row r="342" spans="25:25" x14ac:dyDescent="0.25">
      <c r="Y342" s="23" t="s">
        <v>733</v>
      </c>
    </row>
    <row r="343" spans="25:25" x14ac:dyDescent="0.25">
      <c r="Y343" s="23" t="s">
        <v>735</v>
      </c>
    </row>
    <row r="344" spans="25:25" x14ac:dyDescent="0.25">
      <c r="Y344" s="23" t="s">
        <v>736</v>
      </c>
    </row>
    <row r="345" spans="25:25" x14ac:dyDescent="0.25">
      <c r="Y345" s="23" t="s">
        <v>738</v>
      </c>
    </row>
    <row r="346" spans="25:25" x14ac:dyDescent="0.25">
      <c r="Y346" s="23" t="s">
        <v>739</v>
      </c>
    </row>
    <row r="347" spans="25:25" x14ac:dyDescent="0.25">
      <c r="Y347" s="23" t="s">
        <v>740</v>
      </c>
    </row>
    <row r="348" spans="25:25" x14ac:dyDescent="0.25">
      <c r="Y348" s="23" t="s">
        <v>741</v>
      </c>
    </row>
    <row r="349" spans="25:25" x14ac:dyDescent="0.25">
      <c r="Y349" s="23" t="s">
        <v>743</v>
      </c>
    </row>
    <row r="350" spans="25:25" x14ac:dyDescent="0.25">
      <c r="Y350" s="23" t="s">
        <v>744</v>
      </c>
    </row>
    <row r="351" spans="25:25" x14ac:dyDescent="0.25">
      <c r="Y351" s="23" t="s">
        <v>745</v>
      </c>
    </row>
    <row r="352" spans="25:25" x14ac:dyDescent="0.25">
      <c r="Y352" s="23" t="s">
        <v>746</v>
      </c>
    </row>
    <row r="353" spans="25:25" x14ac:dyDescent="0.25">
      <c r="Y353" s="23" t="s">
        <v>747</v>
      </c>
    </row>
    <row r="354" spans="25:25" x14ac:dyDescent="0.25">
      <c r="Y354" s="23" t="s">
        <v>748</v>
      </c>
    </row>
    <row r="355" spans="25:25" x14ac:dyDescent="0.25">
      <c r="Y355" s="23" t="s">
        <v>749</v>
      </c>
    </row>
    <row r="356" spans="25:25" x14ac:dyDescent="0.25">
      <c r="Y356" s="23" t="s">
        <v>750</v>
      </c>
    </row>
    <row r="357" spans="25:25" x14ac:dyDescent="0.25">
      <c r="Y357" s="23" t="s">
        <v>751</v>
      </c>
    </row>
    <row r="358" spans="25:25" x14ac:dyDescent="0.25">
      <c r="Y358" s="23" t="s">
        <v>752</v>
      </c>
    </row>
    <row r="359" spans="25:25" x14ac:dyDescent="0.25">
      <c r="Y359" s="23" t="s">
        <v>753</v>
      </c>
    </row>
    <row r="360" spans="25:25" x14ac:dyDescent="0.25">
      <c r="Y360" s="23" t="s">
        <v>754</v>
      </c>
    </row>
    <row r="361" spans="25:25" x14ac:dyDescent="0.25">
      <c r="Y361" s="23" t="s">
        <v>755</v>
      </c>
    </row>
    <row r="362" spans="25:25" x14ac:dyDescent="0.25">
      <c r="Y362" s="23" t="s">
        <v>756</v>
      </c>
    </row>
    <row r="363" spans="25:25" x14ac:dyDescent="0.25">
      <c r="Y363" s="23" t="s">
        <v>757</v>
      </c>
    </row>
    <row r="364" spans="25:25" x14ac:dyDescent="0.25">
      <c r="Y364" s="23" t="s">
        <v>760</v>
      </c>
    </row>
    <row r="365" spans="25:25" x14ac:dyDescent="0.25">
      <c r="Y365" s="23" t="s">
        <v>761</v>
      </c>
    </row>
    <row r="366" spans="25:25" x14ac:dyDescent="0.25">
      <c r="Y366" s="23" t="s">
        <v>763</v>
      </c>
    </row>
    <row r="367" spans="25:25" x14ac:dyDescent="0.25">
      <c r="Y367" s="23" t="s">
        <v>764</v>
      </c>
    </row>
    <row r="368" spans="25:25" x14ac:dyDescent="0.25">
      <c r="Y368" s="23" t="s">
        <v>765</v>
      </c>
    </row>
    <row r="369" spans="25:25" x14ac:dyDescent="0.25">
      <c r="Y369" s="23" t="s">
        <v>766</v>
      </c>
    </row>
    <row r="370" spans="25:25" x14ac:dyDescent="0.25">
      <c r="Y370" s="23" t="s">
        <v>767</v>
      </c>
    </row>
    <row r="371" spans="25:25" x14ac:dyDescent="0.25">
      <c r="Y371" s="23" t="s">
        <v>768</v>
      </c>
    </row>
    <row r="372" spans="25:25" x14ac:dyDescent="0.25">
      <c r="Y372" s="23" t="s">
        <v>769</v>
      </c>
    </row>
    <row r="373" spans="25:25" x14ac:dyDescent="0.25">
      <c r="Y373" s="23" t="s">
        <v>770</v>
      </c>
    </row>
    <row r="374" spans="25:25" x14ac:dyDescent="0.25">
      <c r="Y374" s="23" t="s">
        <v>772</v>
      </c>
    </row>
    <row r="375" spans="25:25" x14ac:dyDescent="0.25">
      <c r="Y375" s="23" t="s">
        <v>773</v>
      </c>
    </row>
    <row r="376" spans="25:25" x14ac:dyDescent="0.25">
      <c r="Y376" s="23" t="s">
        <v>774</v>
      </c>
    </row>
    <row r="377" spans="25:25" x14ac:dyDescent="0.25">
      <c r="Y377" s="23" t="s">
        <v>775</v>
      </c>
    </row>
    <row r="378" spans="25:25" x14ac:dyDescent="0.25">
      <c r="Y378" s="23" t="s">
        <v>776</v>
      </c>
    </row>
    <row r="379" spans="25:25" x14ac:dyDescent="0.25">
      <c r="Y379" s="23" t="s">
        <v>777</v>
      </c>
    </row>
    <row r="380" spans="25:25" x14ac:dyDescent="0.25">
      <c r="Y380" s="23" t="s">
        <v>778</v>
      </c>
    </row>
    <row r="381" spans="25:25" x14ac:dyDescent="0.25">
      <c r="Y381" s="23" t="s">
        <v>779</v>
      </c>
    </row>
    <row r="382" spans="25:25" x14ac:dyDescent="0.25">
      <c r="Y382" s="23" t="s">
        <v>780</v>
      </c>
    </row>
    <row r="383" spans="25:25" x14ac:dyDescent="0.25">
      <c r="Y383" s="23" t="s">
        <v>781</v>
      </c>
    </row>
    <row r="384" spans="25:25" x14ac:dyDescent="0.25">
      <c r="Y384" s="23" t="s">
        <v>782</v>
      </c>
    </row>
    <row r="385" spans="25:25" x14ac:dyDescent="0.25">
      <c r="Y385" s="23" t="s">
        <v>783</v>
      </c>
    </row>
    <row r="386" spans="25:25" x14ac:dyDescent="0.25">
      <c r="Y386" s="23" t="s">
        <v>784</v>
      </c>
    </row>
    <row r="387" spans="25:25" x14ac:dyDescent="0.25">
      <c r="Y387" s="23" t="s">
        <v>785</v>
      </c>
    </row>
    <row r="388" spans="25:25" x14ac:dyDescent="0.25">
      <c r="Y388" s="23" t="s">
        <v>786</v>
      </c>
    </row>
    <row r="389" spans="25:25" x14ac:dyDescent="0.25">
      <c r="Y389" s="23" t="s">
        <v>787</v>
      </c>
    </row>
    <row r="390" spans="25:25" x14ac:dyDescent="0.25">
      <c r="Y390" s="23" t="s">
        <v>790</v>
      </c>
    </row>
    <row r="391" spans="25:25" x14ac:dyDescent="0.25">
      <c r="Y391" s="23" t="s">
        <v>791</v>
      </c>
    </row>
    <row r="392" spans="25:25" x14ac:dyDescent="0.25">
      <c r="Y392" s="23" t="s">
        <v>792</v>
      </c>
    </row>
    <row r="393" spans="25:25" x14ac:dyDescent="0.25">
      <c r="Y393" s="23" t="s">
        <v>793</v>
      </c>
    </row>
    <row r="394" spans="25:25" x14ac:dyDescent="0.25">
      <c r="Y394" s="23" t="s">
        <v>794</v>
      </c>
    </row>
    <row r="395" spans="25:25" x14ac:dyDescent="0.25">
      <c r="Y395" s="23" t="s">
        <v>795</v>
      </c>
    </row>
    <row r="396" spans="25:25" x14ac:dyDescent="0.25">
      <c r="Y396" s="23" t="s">
        <v>796</v>
      </c>
    </row>
    <row r="397" spans="25:25" x14ac:dyDescent="0.25">
      <c r="Y397" s="23" t="s">
        <v>797</v>
      </c>
    </row>
    <row r="398" spans="25:25" x14ac:dyDescent="0.25">
      <c r="Y398" s="23" t="s">
        <v>798</v>
      </c>
    </row>
    <row r="399" spans="25:25" x14ac:dyDescent="0.25">
      <c r="Y399" s="23" t="s">
        <v>799</v>
      </c>
    </row>
    <row r="400" spans="25:25" x14ac:dyDescent="0.25">
      <c r="Y400" s="23" t="s">
        <v>800</v>
      </c>
    </row>
    <row r="401" spans="25:25" x14ac:dyDescent="0.25">
      <c r="Y401" s="23" t="s">
        <v>801</v>
      </c>
    </row>
    <row r="402" spans="25:25" x14ac:dyDescent="0.25">
      <c r="Y402" s="23" t="s">
        <v>802</v>
      </c>
    </row>
    <row r="403" spans="25:25" x14ac:dyDescent="0.25">
      <c r="Y403" s="23" t="s">
        <v>803</v>
      </c>
    </row>
    <row r="404" spans="25:25" x14ac:dyDescent="0.25">
      <c r="Y404" s="23" t="s">
        <v>804</v>
      </c>
    </row>
    <row r="405" spans="25:25" x14ac:dyDescent="0.25">
      <c r="Y405" s="23" t="s">
        <v>805</v>
      </c>
    </row>
    <row r="406" spans="25:25" x14ac:dyDescent="0.25">
      <c r="Y406" s="23" t="s">
        <v>806</v>
      </c>
    </row>
    <row r="407" spans="25:25" x14ac:dyDescent="0.25">
      <c r="Y407" s="23" t="s">
        <v>807</v>
      </c>
    </row>
    <row r="408" spans="25:25" x14ac:dyDescent="0.25">
      <c r="Y408" s="23" t="s">
        <v>808</v>
      </c>
    </row>
    <row r="409" spans="25:25" x14ac:dyDescent="0.25">
      <c r="Y409" s="23" t="s">
        <v>809</v>
      </c>
    </row>
    <row r="410" spans="25:25" x14ac:dyDescent="0.25">
      <c r="Y410" s="23" t="s">
        <v>810</v>
      </c>
    </row>
    <row r="411" spans="25:25" x14ac:dyDescent="0.25">
      <c r="Y411" s="23" t="s">
        <v>811</v>
      </c>
    </row>
    <row r="412" spans="25:25" x14ac:dyDescent="0.25">
      <c r="Y412" s="23" t="s">
        <v>812</v>
      </c>
    </row>
    <row r="413" spans="25:25" x14ac:dyDescent="0.25">
      <c r="Y413" s="23" t="s">
        <v>813</v>
      </c>
    </row>
    <row r="414" spans="25:25" x14ac:dyDescent="0.25">
      <c r="Y414" s="23" t="s">
        <v>814</v>
      </c>
    </row>
    <row r="415" spans="25:25" x14ac:dyDescent="0.25">
      <c r="Y415" s="23" t="s">
        <v>815</v>
      </c>
    </row>
    <row r="416" spans="25:25" x14ac:dyDescent="0.25">
      <c r="Y416" s="23" t="s">
        <v>816</v>
      </c>
    </row>
    <row r="417" spans="25:25" x14ac:dyDescent="0.25">
      <c r="Y417" s="23" t="s">
        <v>817</v>
      </c>
    </row>
    <row r="418" spans="25:25" x14ac:dyDescent="0.25">
      <c r="Y418" s="23" t="s">
        <v>818</v>
      </c>
    </row>
    <row r="419" spans="25:25" x14ac:dyDescent="0.25">
      <c r="Y419" s="23" t="s">
        <v>819</v>
      </c>
    </row>
    <row r="420" spans="25:25" x14ac:dyDescent="0.25">
      <c r="Y420" s="23" t="s">
        <v>820</v>
      </c>
    </row>
    <row r="421" spans="25:25" x14ac:dyDescent="0.25">
      <c r="Y421" s="23" t="s">
        <v>821</v>
      </c>
    </row>
    <row r="422" spans="25:25" x14ac:dyDescent="0.25">
      <c r="Y422" s="23" t="s">
        <v>822</v>
      </c>
    </row>
    <row r="423" spans="25:25" x14ac:dyDescent="0.25">
      <c r="Y423" s="23" t="s">
        <v>823</v>
      </c>
    </row>
    <row r="424" spans="25:25" x14ac:dyDescent="0.25">
      <c r="Y424" s="23" t="s">
        <v>824</v>
      </c>
    </row>
    <row r="425" spans="25:25" x14ac:dyDescent="0.25">
      <c r="Y425" s="23" t="s">
        <v>825</v>
      </c>
    </row>
    <row r="426" spans="25:25" x14ac:dyDescent="0.25">
      <c r="Y426" s="23" t="s">
        <v>826</v>
      </c>
    </row>
    <row r="427" spans="25:25" x14ac:dyDescent="0.25">
      <c r="Y427" s="23" t="s">
        <v>827</v>
      </c>
    </row>
    <row r="428" spans="25:25" x14ac:dyDescent="0.25">
      <c r="Y428" s="23" t="s">
        <v>829</v>
      </c>
    </row>
    <row r="429" spans="25:25" x14ac:dyDescent="0.25">
      <c r="Y429" s="23" t="s">
        <v>830</v>
      </c>
    </row>
    <row r="430" spans="25:25" x14ac:dyDescent="0.25">
      <c r="Y430" s="23" t="s">
        <v>831</v>
      </c>
    </row>
    <row r="431" spans="25:25" x14ac:dyDescent="0.25">
      <c r="Y431" s="23" t="s">
        <v>832</v>
      </c>
    </row>
    <row r="432" spans="25:25" x14ac:dyDescent="0.25">
      <c r="Y432" s="23" t="s">
        <v>833</v>
      </c>
    </row>
    <row r="433" spans="25:25" x14ac:dyDescent="0.25">
      <c r="Y433" s="23" t="s">
        <v>834</v>
      </c>
    </row>
    <row r="434" spans="25:25" x14ac:dyDescent="0.25">
      <c r="Y434" s="23" t="s">
        <v>835</v>
      </c>
    </row>
    <row r="435" spans="25:25" x14ac:dyDescent="0.25">
      <c r="Y435" s="23" t="s">
        <v>836</v>
      </c>
    </row>
    <row r="436" spans="25:25" x14ac:dyDescent="0.25">
      <c r="Y436" s="23" t="s">
        <v>837</v>
      </c>
    </row>
    <row r="437" spans="25:25" x14ac:dyDescent="0.25">
      <c r="Y437" s="23" t="s">
        <v>840</v>
      </c>
    </row>
    <row r="438" spans="25:25" x14ac:dyDescent="0.25">
      <c r="Y438" s="23" t="s">
        <v>841</v>
      </c>
    </row>
    <row r="439" spans="25:25" x14ac:dyDescent="0.25">
      <c r="Y439" s="23" t="s">
        <v>843</v>
      </c>
    </row>
    <row r="440" spans="25:25" x14ac:dyDescent="0.25">
      <c r="Y440" s="23" t="s">
        <v>845</v>
      </c>
    </row>
    <row r="441" spans="25:25" x14ac:dyDescent="0.25">
      <c r="Y441" s="23" t="s">
        <v>846</v>
      </c>
    </row>
    <row r="442" spans="25:25" x14ac:dyDescent="0.25">
      <c r="Y442" s="23" t="s">
        <v>847</v>
      </c>
    </row>
    <row r="443" spans="25:25" x14ac:dyDescent="0.25">
      <c r="Y443" s="23" t="s">
        <v>848</v>
      </c>
    </row>
    <row r="444" spans="25:25" x14ac:dyDescent="0.25">
      <c r="Y444" s="23" t="s">
        <v>849</v>
      </c>
    </row>
    <row r="445" spans="25:25" x14ac:dyDescent="0.25">
      <c r="Y445" s="23" t="s">
        <v>851</v>
      </c>
    </row>
    <row r="446" spans="25:25" x14ac:dyDescent="0.25">
      <c r="Y446" s="23" t="s">
        <v>852</v>
      </c>
    </row>
    <row r="447" spans="25:25" x14ac:dyDescent="0.25">
      <c r="Y447" s="23" t="s">
        <v>854</v>
      </c>
    </row>
    <row r="448" spans="25:25" x14ac:dyDescent="0.25">
      <c r="Y448" s="23" t="s">
        <v>856</v>
      </c>
    </row>
    <row r="449" spans="25:25" x14ac:dyDescent="0.25">
      <c r="Y449" s="23" t="s">
        <v>857</v>
      </c>
    </row>
    <row r="450" spans="25:25" x14ac:dyDescent="0.25">
      <c r="Y450" s="23" t="s">
        <v>858</v>
      </c>
    </row>
    <row r="451" spans="25:25" x14ac:dyDescent="0.25">
      <c r="Y451" s="23" t="s">
        <v>859</v>
      </c>
    </row>
    <row r="452" spans="25:25" x14ac:dyDescent="0.25">
      <c r="Y452" s="23" t="s">
        <v>860</v>
      </c>
    </row>
    <row r="453" spans="25:25" x14ac:dyDescent="0.25">
      <c r="Y453" s="23" t="s">
        <v>861</v>
      </c>
    </row>
    <row r="454" spans="25:25" x14ac:dyDescent="0.25">
      <c r="Y454" s="23" t="s">
        <v>864</v>
      </c>
    </row>
    <row r="455" spans="25:25" x14ac:dyDescent="0.25">
      <c r="Y455" s="23" t="s">
        <v>866</v>
      </c>
    </row>
    <row r="456" spans="25:25" x14ac:dyDescent="0.25">
      <c r="Y456" s="23" t="s">
        <v>869</v>
      </c>
    </row>
    <row r="457" spans="25:25" x14ac:dyDescent="0.25">
      <c r="Y457" s="23" t="s">
        <v>870</v>
      </c>
    </row>
    <row r="458" spans="25:25" x14ac:dyDescent="0.25">
      <c r="Y458" s="23" t="s">
        <v>871</v>
      </c>
    </row>
    <row r="459" spans="25:25" x14ac:dyDescent="0.25">
      <c r="Y459" s="23" t="s">
        <v>872</v>
      </c>
    </row>
    <row r="460" spans="25:25" x14ac:dyDescent="0.25">
      <c r="Y460" s="23" t="s">
        <v>873</v>
      </c>
    </row>
    <row r="461" spans="25:25" x14ac:dyDescent="0.25">
      <c r="Y461" s="23" t="s">
        <v>874</v>
      </c>
    </row>
    <row r="462" spans="25:25" x14ac:dyDescent="0.25">
      <c r="Y462" s="23" t="s">
        <v>875</v>
      </c>
    </row>
    <row r="463" spans="25:25" x14ac:dyDescent="0.25">
      <c r="Y463" s="23" t="s">
        <v>877</v>
      </c>
    </row>
    <row r="464" spans="25:25" x14ac:dyDescent="0.25">
      <c r="Y464" s="23" t="s">
        <v>878</v>
      </c>
    </row>
    <row r="465" spans="25:25" x14ac:dyDescent="0.25">
      <c r="Y465" s="23" t="s">
        <v>879</v>
      </c>
    </row>
    <row r="466" spans="25:25" x14ac:dyDescent="0.25">
      <c r="Y466" s="23" t="s">
        <v>880</v>
      </c>
    </row>
    <row r="467" spans="25:25" x14ac:dyDescent="0.25">
      <c r="Y467" s="23" t="s">
        <v>882</v>
      </c>
    </row>
    <row r="468" spans="25:25" x14ac:dyDescent="0.25">
      <c r="Y468" s="23" t="s">
        <v>886</v>
      </c>
    </row>
    <row r="469" spans="25:25" x14ac:dyDescent="0.25">
      <c r="Y469" s="23" t="s">
        <v>890</v>
      </c>
    </row>
    <row r="470" spans="25:25" x14ac:dyDescent="0.25">
      <c r="Y470" s="23" t="s">
        <v>891</v>
      </c>
    </row>
    <row r="471" spans="25:25" x14ac:dyDescent="0.25">
      <c r="Y471" s="23" t="s">
        <v>893</v>
      </c>
    </row>
    <row r="472" spans="25:25" x14ac:dyDescent="0.25">
      <c r="Y472" s="23" t="s">
        <v>894</v>
      </c>
    </row>
    <row r="473" spans="25:25" x14ac:dyDescent="0.25">
      <c r="Y473" s="23" t="s">
        <v>895</v>
      </c>
    </row>
    <row r="474" spans="25:25" x14ac:dyDescent="0.25">
      <c r="Y474" s="23" t="s">
        <v>896</v>
      </c>
    </row>
    <row r="475" spans="25:25" x14ac:dyDescent="0.25">
      <c r="Y475" s="23" t="s">
        <v>897</v>
      </c>
    </row>
    <row r="476" spans="25:25" x14ac:dyDescent="0.25">
      <c r="Y476" s="23"/>
    </row>
    <row r="477" spans="25:25" x14ac:dyDescent="0.25">
      <c r="Y477" s="23"/>
    </row>
    <row r="478" spans="25:25" x14ac:dyDescent="0.25">
      <c r="Y478" s="23"/>
    </row>
    <row r="479" spans="25:25" x14ac:dyDescent="0.25">
      <c r="Y479" s="23"/>
    </row>
    <row r="480" spans="25:25" x14ac:dyDescent="0.25">
      <c r="Y480" s="23"/>
    </row>
    <row r="481" spans="25:25" x14ac:dyDescent="0.25">
      <c r="Y481" s="24"/>
    </row>
    <row r="482" spans="25:25" x14ac:dyDescent="0.25">
      <c r="Y482" s="24"/>
    </row>
    <row r="483" spans="25:25" x14ac:dyDescent="0.25">
      <c r="Y483" s="23" t="s">
        <v>907</v>
      </c>
    </row>
    <row r="484" spans="25:25" x14ac:dyDescent="0.25">
      <c r="Y484" s="23" t="s">
        <v>908</v>
      </c>
    </row>
    <row r="485" spans="25:25" x14ac:dyDescent="0.25">
      <c r="Y485" s="23" t="s">
        <v>909</v>
      </c>
    </row>
    <row r="486" spans="25:25" x14ac:dyDescent="0.25">
      <c r="Y486" s="23" t="s">
        <v>910</v>
      </c>
    </row>
    <row r="487" spans="25:25" x14ac:dyDescent="0.25">
      <c r="Y487" s="23" t="s">
        <v>911</v>
      </c>
    </row>
    <row r="488" spans="25:25" x14ac:dyDescent="0.25">
      <c r="Y488" s="23" t="s">
        <v>912</v>
      </c>
    </row>
    <row r="489" spans="25:25" x14ac:dyDescent="0.25">
      <c r="Y489" s="23" t="s">
        <v>913</v>
      </c>
    </row>
    <row r="490" spans="25:25" x14ac:dyDescent="0.25">
      <c r="Y490" s="23" t="s">
        <v>914</v>
      </c>
    </row>
    <row r="491" spans="25:25" x14ac:dyDescent="0.25">
      <c r="Y491" s="23" t="s">
        <v>915</v>
      </c>
    </row>
    <row r="492" spans="25:25" x14ac:dyDescent="0.25">
      <c r="Y492" s="23" t="s">
        <v>916</v>
      </c>
    </row>
    <row r="493" spans="25:25" x14ac:dyDescent="0.25">
      <c r="Y493" s="23" t="s">
        <v>917</v>
      </c>
    </row>
    <row r="494" spans="25:25" x14ac:dyDescent="0.25">
      <c r="Y494" s="23" t="s">
        <v>918</v>
      </c>
    </row>
  </sheetData>
  <autoFilter ref="A1:L178" xr:uid="{00000000-0009-0000-0000-000001000000}"/>
  <conditionalFormatting sqref="Y139:Y494">
    <cfRule type="duplicateValues" dxfId="0" priority="1"/>
  </conditionalFormatting>
  <dataValidations count="1">
    <dataValidation type="list" allowBlank="1" showInputMessage="1" showErrorMessage="1" sqref="E2:E52 E54:E123 N105 E154" xr:uid="{00000000-0002-0000-0100-000000000000}">
      <formula1>$E$1:$E$121</formula1>
    </dataValidation>
  </dataValidations>
  <hyperlinks>
    <hyperlink ref="H70" r:id="rId1" xr:uid="{00000000-0004-0000-01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workbookViewId="0">
      <selection activeCell="F14" sqref="F14"/>
    </sheetView>
  </sheetViews>
  <sheetFormatPr defaultRowHeight="15" x14ac:dyDescent="0.25"/>
  <cols>
    <col min="1" max="1" width="16.28515625" bestFit="1" customWidth="1"/>
    <col min="2" max="2" width="15" bestFit="1" customWidth="1"/>
    <col min="6" max="6" width="16.28515625" bestFit="1" customWidth="1"/>
    <col min="7" max="7" width="14.5703125" bestFit="1" customWidth="1"/>
    <col min="11" max="11" width="16.28515625" bestFit="1" customWidth="1"/>
  </cols>
  <sheetData>
    <row r="1" spans="1:13" x14ac:dyDescent="0.25">
      <c r="A1" s="3" t="s">
        <v>6</v>
      </c>
      <c r="B1" t="s">
        <v>553</v>
      </c>
    </row>
    <row r="3" spans="1:13" x14ac:dyDescent="0.25">
      <c r="A3" s="3" t="s">
        <v>707</v>
      </c>
      <c r="B3" t="s">
        <v>708</v>
      </c>
      <c r="F3" t="s">
        <v>707</v>
      </c>
      <c r="G3" t="s">
        <v>708</v>
      </c>
      <c r="K3" s="20" t="s">
        <v>335</v>
      </c>
      <c r="L3" s="21">
        <v>9</v>
      </c>
      <c r="M3" t="s">
        <v>709</v>
      </c>
    </row>
    <row r="4" spans="1:13" x14ac:dyDescent="0.25">
      <c r="A4" s="20" t="s">
        <v>339</v>
      </c>
      <c r="B4">
        <v>8</v>
      </c>
      <c r="H4" s="25">
        <v>32</v>
      </c>
      <c r="K4" s="20" t="s">
        <v>337</v>
      </c>
      <c r="L4" s="21">
        <v>12</v>
      </c>
    </row>
    <row r="5" spans="1:13" x14ac:dyDescent="0.25">
      <c r="A5" s="20" t="s">
        <v>184</v>
      </c>
      <c r="B5">
        <v>8</v>
      </c>
      <c r="H5" s="25"/>
      <c r="K5" s="20" t="s">
        <v>540</v>
      </c>
      <c r="L5" s="21">
        <v>12</v>
      </c>
    </row>
    <row r="6" spans="1:13" x14ac:dyDescent="0.25">
      <c r="A6" s="20" t="s">
        <v>523</v>
      </c>
      <c r="B6">
        <v>4</v>
      </c>
      <c r="H6" s="25"/>
      <c r="K6" s="20" t="s">
        <v>336</v>
      </c>
      <c r="L6" s="21">
        <v>12</v>
      </c>
    </row>
    <row r="7" spans="1:13" x14ac:dyDescent="0.25">
      <c r="A7" s="20" t="s">
        <v>335</v>
      </c>
      <c r="B7">
        <v>9</v>
      </c>
      <c r="H7" s="25"/>
      <c r="K7" s="20" t="s">
        <v>338</v>
      </c>
      <c r="L7" s="21">
        <v>8</v>
      </c>
    </row>
    <row r="8" spans="1:13" x14ac:dyDescent="0.25">
      <c r="A8" s="20" t="s">
        <v>337</v>
      </c>
      <c r="B8">
        <v>12</v>
      </c>
      <c r="H8" s="25">
        <v>53</v>
      </c>
    </row>
    <row r="9" spans="1:13" x14ac:dyDescent="0.25">
      <c r="A9" s="20" t="s">
        <v>540</v>
      </c>
      <c r="B9">
        <v>12</v>
      </c>
      <c r="H9" s="25"/>
      <c r="K9" t="s">
        <v>301</v>
      </c>
      <c r="L9">
        <v>22</v>
      </c>
      <c r="M9" t="s">
        <v>710</v>
      </c>
    </row>
    <row r="10" spans="1:13" x14ac:dyDescent="0.25">
      <c r="A10" s="20" t="s">
        <v>336</v>
      </c>
      <c r="B10">
        <v>12</v>
      </c>
      <c r="H10" s="25"/>
      <c r="K10" t="s">
        <v>184</v>
      </c>
      <c r="L10">
        <v>8</v>
      </c>
    </row>
    <row r="11" spans="1:13" x14ac:dyDescent="0.25">
      <c r="A11" s="20" t="s">
        <v>338</v>
      </c>
      <c r="B11">
        <v>8</v>
      </c>
      <c r="H11" s="25"/>
      <c r="K11" t="s">
        <v>130</v>
      </c>
      <c r="L11">
        <v>4</v>
      </c>
    </row>
    <row r="12" spans="1:13" x14ac:dyDescent="0.25">
      <c r="A12" s="20" t="s">
        <v>130</v>
      </c>
      <c r="B12">
        <v>4</v>
      </c>
      <c r="H12" s="25"/>
      <c r="K12" t="s">
        <v>210</v>
      </c>
      <c r="L12">
        <v>7</v>
      </c>
    </row>
    <row r="13" spans="1:13" x14ac:dyDescent="0.25">
      <c r="A13" s="20" t="s">
        <v>636</v>
      </c>
      <c r="B13">
        <v>7</v>
      </c>
      <c r="H13" s="25">
        <v>52</v>
      </c>
      <c r="K13" s="21" t="s">
        <v>339</v>
      </c>
      <c r="L13" s="21">
        <v>8</v>
      </c>
    </row>
    <row r="14" spans="1:13" x14ac:dyDescent="0.25">
      <c r="A14" s="20" t="s">
        <v>250</v>
      </c>
      <c r="B14">
        <v>24</v>
      </c>
      <c r="H14" s="25"/>
      <c r="K14" s="21" t="s">
        <v>523</v>
      </c>
      <c r="L14" s="21">
        <v>4</v>
      </c>
    </row>
    <row r="15" spans="1:13" x14ac:dyDescent="0.25">
      <c r="A15" s="20" t="s">
        <v>573</v>
      </c>
      <c r="B15">
        <v>6</v>
      </c>
      <c r="H15" s="25"/>
    </row>
    <row r="16" spans="1:13" x14ac:dyDescent="0.25">
      <c r="A16" s="20" t="s">
        <v>301</v>
      </c>
      <c r="B16">
        <v>22</v>
      </c>
      <c r="H16" s="25">
        <v>19</v>
      </c>
      <c r="K16" s="21" t="s">
        <v>143</v>
      </c>
      <c r="L16" s="21">
        <v>13</v>
      </c>
    </row>
    <row r="17" spans="1:12" x14ac:dyDescent="0.25">
      <c r="A17" s="20" t="s">
        <v>143</v>
      </c>
      <c r="B17">
        <v>13</v>
      </c>
      <c r="H17" s="25"/>
      <c r="K17" s="21" t="s">
        <v>636</v>
      </c>
      <c r="L17" s="21">
        <v>7</v>
      </c>
    </row>
    <row r="18" spans="1:12" x14ac:dyDescent="0.25">
      <c r="A18" s="20" t="s">
        <v>210</v>
      </c>
      <c r="B18">
        <v>7</v>
      </c>
      <c r="H18" s="25"/>
    </row>
    <row r="19" spans="1:12" x14ac:dyDescent="0.25">
      <c r="A19" s="20" t="s">
        <v>400</v>
      </c>
      <c r="B19">
        <v>156</v>
      </c>
      <c r="K19" s="21" t="s">
        <v>250</v>
      </c>
      <c r="L19">
        <v>24</v>
      </c>
    </row>
    <row r="20" spans="1:12" x14ac:dyDescent="0.25">
      <c r="H20">
        <f>156/4</f>
        <v>39</v>
      </c>
      <c r="K20" s="21" t="s">
        <v>573</v>
      </c>
      <c r="L20">
        <v>6</v>
      </c>
    </row>
  </sheetData>
  <mergeCells count="4">
    <mergeCell ref="H8:H12"/>
    <mergeCell ref="H4:H7"/>
    <mergeCell ref="H13:H15"/>
    <mergeCell ref="H16:H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3:E179"/>
  <sheetViews>
    <sheetView topLeftCell="A125" workbookViewId="0">
      <selection activeCell="A152" sqref="A152"/>
    </sheetView>
  </sheetViews>
  <sheetFormatPr defaultRowHeight="15" x14ac:dyDescent="0.25"/>
  <cols>
    <col min="1" max="1" width="13.7109375" bestFit="1" customWidth="1"/>
    <col min="2" max="2" width="15.140625" bestFit="1" customWidth="1"/>
    <col min="3" max="3" width="26.140625" bestFit="1" customWidth="1"/>
    <col min="4" max="4" width="59" bestFit="1" customWidth="1"/>
    <col min="5" max="5" width="13.140625" bestFit="1" customWidth="1"/>
  </cols>
  <sheetData>
    <row r="3" spans="1:5" x14ac:dyDescent="0.25">
      <c r="A3" s="3" t="s">
        <v>397</v>
      </c>
      <c r="B3" s="3" t="s">
        <v>3</v>
      </c>
      <c r="C3" s="3" t="s">
        <v>2</v>
      </c>
      <c r="D3" s="3" t="s">
        <v>4</v>
      </c>
      <c r="E3" t="s">
        <v>401</v>
      </c>
    </row>
    <row r="4" spans="1:5" x14ac:dyDescent="0.25">
      <c r="A4" t="s">
        <v>559</v>
      </c>
      <c r="B4" t="s">
        <v>25</v>
      </c>
      <c r="C4" t="s">
        <v>24</v>
      </c>
      <c r="D4" t="s">
        <v>26</v>
      </c>
      <c r="E4">
        <v>1</v>
      </c>
    </row>
    <row r="5" spans="1:5" x14ac:dyDescent="0.25">
      <c r="B5" t="s">
        <v>28</v>
      </c>
      <c r="C5" t="s">
        <v>27</v>
      </c>
      <c r="D5" t="s">
        <v>29</v>
      </c>
      <c r="E5">
        <v>1</v>
      </c>
    </row>
    <row r="6" spans="1:5" x14ac:dyDescent="0.25">
      <c r="B6" t="s">
        <v>40</v>
      </c>
      <c r="C6" t="s">
        <v>39</v>
      </c>
      <c r="D6" t="s">
        <v>41</v>
      </c>
      <c r="E6">
        <v>1</v>
      </c>
    </row>
    <row r="7" spans="1:5" x14ac:dyDescent="0.25">
      <c r="B7" t="s">
        <v>46</v>
      </c>
      <c r="C7" t="s">
        <v>45</v>
      </c>
      <c r="D7" t="s">
        <v>47</v>
      </c>
      <c r="E7">
        <v>1</v>
      </c>
    </row>
    <row r="8" spans="1:5" x14ac:dyDescent="0.25">
      <c r="B8" t="s">
        <v>14</v>
      </c>
      <c r="C8" t="s">
        <v>374</v>
      </c>
      <c r="D8" t="s">
        <v>373</v>
      </c>
      <c r="E8">
        <v>1</v>
      </c>
    </row>
    <row r="9" spans="1:5" x14ac:dyDescent="0.25">
      <c r="B9" t="s">
        <v>52</v>
      </c>
      <c r="C9" t="s">
        <v>468</v>
      </c>
      <c r="D9" t="s">
        <v>53</v>
      </c>
      <c r="E9">
        <v>1</v>
      </c>
    </row>
    <row r="10" spans="1:5" x14ac:dyDescent="0.25">
      <c r="B10" t="s">
        <v>54</v>
      </c>
      <c r="C10" t="s">
        <v>469</v>
      </c>
      <c r="D10" t="s">
        <v>55</v>
      </c>
      <c r="E10">
        <v>1</v>
      </c>
    </row>
    <row r="11" spans="1:5" x14ac:dyDescent="0.25">
      <c r="B11" t="s">
        <v>60</v>
      </c>
      <c r="C11" t="s">
        <v>59</v>
      </c>
      <c r="D11" t="s">
        <v>61</v>
      </c>
      <c r="E11">
        <v>1</v>
      </c>
    </row>
    <row r="12" spans="1:5" x14ac:dyDescent="0.25">
      <c r="B12" t="s">
        <v>376</v>
      </c>
      <c r="C12" t="s">
        <v>391</v>
      </c>
      <c r="D12" t="s">
        <v>377</v>
      </c>
      <c r="E12">
        <v>1</v>
      </c>
    </row>
    <row r="13" spans="1:5" x14ac:dyDescent="0.25">
      <c r="B13" t="s">
        <v>80</v>
      </c>
      <c r="C13" t="s">
        <v>79</v>
      </c>
      <c r="D13" t="s">
        <v>81</v>
      </c>
      <c r="E13">
        <v>1</v>
      </c>
    </row>
    <row r="14" spans="1:5" x14ac:dyDescent="0.25">
      <c r="B14" t="s">
        <v>83</v>
      </c>
      <c r="C14" t="s">
        <v>82</v>
      </c>
      <c r="D14" t="s">
        <v>84</v>
      </c>
      <c r="E14">
        <v>1</v>
      </c>
    </row>
    <row r="15" spans="1:5" x14ac:dyDescent="0.25">
      <c r="B15" t="s">
        <v>86</v>
      </c>
      <c r="C15" t="s">
        <v>85</v>
      </c>
      <c r="D15" t="s">
        <v>87</v>
      </c>
      <c r="E15">
        <v>1</v>
      </c>
    </row>
    <row r="16" spans="1:5" x14ac:dyDescent="0.25">
      <c r="B16" t="s">
        <v>421</v>
      </c>
      <c r="C16" t="s">
        <v>423</v>
      </c>
      <c r="D16" t="s">
        <v>425</v>
      </c>
      <c r="E16">
        <v>1</v>
      </c>
    </row>
    <row r="17" spans="1:5" x14ac:dyDescent="0.25">
      <c r="B17" t="s">
        <v>422</v>
      </c>
      <c r="C17" t="s">
        <v>424</v>
      </c>
      <c r="D17" t="s">
        <v>426</v>
      </c>
      <c r="E17">
        <v>1</v>
      </c>
    </row>
    <row r="18" spans="1:5" x14ac:dyDescent="0.25">
      <c r="B18" t="s">
        <v>439</v>
      </c>
      <c r="C18" t="s">
        <v>59</v>
      </c>
      <c r="D18" t="s">
        <v>61</v>
      </c>
      <c r="E18">
        <v>1</v>
      </c>
    </row>
    <row r="19" spans="1:5" x14ac:dyDescent="0.25">
      <c r="A19" t="s">
        <v>556</v>
      </c>
      <c r="B19" t="s">
        <v>228</v>
      </c>
      <c r="C19" t="s">
        <v>30</v>
      </c>
      <c r="D19" t="s">
        <v>229</v>
      </c>
      <c r="E19">
        <v>1</v>
      </c>
    </row>
    <row r="20" spans="1:5" x14ac:dyDescent="0.25">
      <c r="B20" t="s">
        <v>231</v>
      </c>
      <c r="C20" t="s">
        <v>230</v>
      </c>
      <c r="D20" t="s">
        <v>232</v>
      </c>
      <c r="E20">
        <v>1</v>
      </c>
    </row>
    <row r="21" spans="1:5" x14ac:dyDescent="0.25">
      <c r="B21" t="s">
        <v>234</v>
      </c>
      <c r="C21" t="s">
        <v>233</v>
      </c>
      <c r="D21" t="s">
        <v>235</v>
      </c>
      <c r="E21">
        <v>1</v>
      </c>
    </row>
    <row r="22" spans="1:5" x14ac:dyDescent="0.25">
      <c r="B22" t="s">
        <v>237</v>
      </c>
      <c r="C22" t="s">
        <v>236</v>
      </c>
      <c r="D22" t="s">
        <v>238</v>
      </c>
      <c r="E22">
        <v>1</v>
      </c>
    </row>
    <row r="23" spans="1:5" x14ac:dyDescent="0.25">
      <c r="B23" t="s">
        <v>240</v>
      </c>
      <c r="C23" t="s">
        <v>239</v>
      </c>
      <c r="D23" t="s">
        <v>241</v>
      </c>
      <c r="E23">
        <v>1</v>
      </c>
    </row>
    <row r="24" spans="1:5" x14ac:dyDescent="0.25">
      <c r="B24" t="s">
        <v>243</v>
      </c>
      <c r="C24" t="s">
        <v>242</v>
      </c>
      <c r="D24" t="s">
        <v>244</v>
      </c>
      <c r="E24">
        <v>1</v>
      </c>
    </row>
    <row r="25" spans="1:5" x14ac:dyDescent="0.25">
      <c r="B25" t="s">
        <v>246</v>
      </c>
      <c r="C25" t="s">
        <v>245</v>
      </c>
      <c r="D25" t="s">
        <v>247</v>
      </c>
      <c r="E25">
        <v>1</v>
      </c>
    </row>
    <row r="26" spans="1:5" x14ac:dyDescent="0.25">
      <c r="B26" t="s">
        <v>249</v>
      </c>
      <c r="C26" t="s">
        <v>248</v>
      </c>
      <c r="D26" t="s">
        <v>670</v>
      </c>
      <c r="E26">
        <v>1</v>
      </c>
    </row>
    <row r="27" spans="1:5" x14ac:dyDescent="0.25">
      <c r="B27" t="s">
        <v>369</v>
      </c>
      <c r="C27" t="s">
        <v>368</v>
      </c>
      <c r="D27" t="s">
        <v>367</v>
      </c>
      <c r="E27">
        <v>1</v>
      </c>
    </row>
    <row r="28" spans="1:5" x14ac:dyDescent="0.25">
      <c r="A28" t="s">
        <v>558</v>
      </c>
      <c r="B28" t="s">
        <v>49</v>
      </c>
      <c r="C28" t="s">
        <v>48</v>
      </c>
      <c r="D28" t="s">
        <v>50</v>
      </c>
      <c r="E28">
        <v>1</v>
      </c>
    </row>
    <row r="29" spans="1:5" x14ac:dyDescent="0.25">
      <c r="B29" t="s">
        <v>71</v>
      </c>
      <c r="C29" t="s">
        <v>70</v>
      </c>
      <c r="D29" t="s">
        <v>72</v>
      </c>
      <c r="E29">
        <v>1</v>
      </c>
    </row>
    <row r="30" spans="1:5" x14ac:dyDescent="0.25">
      <c r="B30" t="s">
        <v>77</v>
      </c>
      <c r="C30" t="s">
        <v>76</v>
      </c>
      <c r="D30" t="s">
        <v>78</v>
      </c>
      <c r="E30">
        <v>1</v>
      </c>
    </row>
    <row r="31" spans="1:5" x14ac:dyDescent="0.25">
      <c r="B31" t="s">
        <v>10</v>
      </c>
      <c r="C31" t="s">
        <v>384</v>
      </c>
      <c r="D31" t="s">
        <v>383</v>
      </c>
      <c r="E31">
        <v>1</v>
      </c>
    </row>
    <row r="32" spans="1:5" x14ac:dyDescent="0.25">
      <c r="B32" t="s">
        <v>11</v>
      </c>
      <c r="C32" t="s">
        <v>385</v>
      </c>
      <c r="D32" t="s">
        <v>386</v>
      </c>
      <c r="E32">
        <v>1</v>
      </c>
    </row>
    <row r="33" spans="1:5" x14ac:dyDescent="0.25">
      <c r="B33" t="s">
        <v>12</v>
      </c>
      <c r="C33" t="s">
        <v>388</v>
      </c>
      <c r="D33" t="s">
        <v>387</v>
      </c>
      <c r="E33">
        <v>1</v>
      </c>
    </row>
    <row r="34" spans="1:5" x14ac:dyDescent="0.25">
      <c r="B34" t="s">
        <v>13</v>
      </c>
      <c r="C34" t="s">
        <v>389</v>
      </c>
      <c r="D34" t="s">
        <v>390</v>
      </c>
      <c r="E34">
        <v>1</v>
      </c>
    </row>
    <row r="35" spans="1:5" x14ac:dyDescent="0.25">
      <c r="B35" t="s">
        <v>504</v>
      </c>
      <c r="C35" t="s">
        <v>506</v>
      </c>
      <c r="D35" t="s">
        <v>508</v>
      </c>
      <c r="E35">
        <v>1</v>
      </c>
    </row>
    <row r="36" spans="1:5" x14ac:dyDescent="0.25">
      <c r="B36" t="s">
        <v>505</v>
      </c>
      <c r="C36" t="s">
        <v>507</v>
      </c>
      <c r="D36" t="s">
        <v>509</v>
      </c>
      <c r="E36">
        <v>1</v>
      </c>
    </row>
    <row r="37" spans="1:5" x14ac:dyDescent="0.25">
      <c r="B37" t="s">
        <v>657</v>
      </c>
      <c r="C37" t="s">
        <v>650</v>
      </c>
      <c r="D37" t="s">
        <v>664</v>
      </c>
      <c r="E37">
        <v>1</v>
      </c>
    </row>
    <row r="38" spans="1:5" x14ac:dyDescent="0.25">
      <c r="A38" t="s">
        <v>398</v>
      </c>
      <c r="B38" t="s">
        <v>393</v>
      </c>
      <c r="C38" t="s">
        <v>394</v>
      </c>
      <c r="D38" t="s">
        <v>395</v>
      </c>
      <c r="E38">
        <v>1</v>
      </c>
    </row>
    <row r="39" spans="1:5" x14ac:dyDescent="0.25">
      <c r="A39" t="s">
        <v>561</v>
      </c>
      <c r="B39" t="s">
        <v>19</v>
      </c>
      <c r="C39" t="s">
        <v>18</v>
      </c>
      <c r="D39" t="s">
        <v>20</v>
      </c>
      <c r="E39">
        <v>1</v>
      </c>
    </row>
    <row r="40" spans="1:5" x14ac:dyDescent="0.25">
      <c r="B40" t="s">
        <v>31</v>
      </c>
      <c r="C40" t="s">
        <v>30</v>
      </c>
      <c r="D40" t="s">
        <v>32</v>
      </c>
      <c r="E40">
        <v>1</v>
      </c>
    </row>
    <row r="41" spans="1:5" x14ac:dyDescent="0.25">
      <c r="B41" t="s">
        <v>34</v>
      </c>
      <c r="C41" t="s">
        <v>33</v>
      </c>
      <c r="D41" t="s">
        <v>35</v>
      </c>
      <c r="E41">
        <v>1</v>
      </c>
    </row>
    <row r="42" spans="1:5" x14ac:dyDescent="0.25">
      <c r="B42" t="s">
        <v>37</v>
      </c>
      <c r="C42" t="s">
        <v>36</v>
      </c>
      <c r="D42" t="s">
        <v>38</v>
      </c>
      <c r="E42">
        <v>1</v>
      </c>
    </row>
    <row r="43" spans="1:5" x14ac:dyDescent="0.25">
      <c r="B43" t="s">
        <v>51</v>
      </c>
      <c r="C43" t="s">
        <v>471</v>
      </c>
      <c r="D43" t="s">
        <v>375</v>
      </c>
      <c r="E43">
        <v>1</v>
      </c>
    </row>
    <row r="44" spans="1:5" x14ac:dyDescent="0.25">
      <c r="B44" t="s">
        <v>63</v>
      </c>
      <c r="C44" t="s">
        <v>62</v>
      </c>
      <c r="D44" t="s">
        <v>64</v>
      </c>
      <c r="E44">
        <v>1</v>
      </c>
    </row>
    <row r="45" spans="1:5" x14ac:dyDescent="0.25">
      <c r="B45" t="s">
        <v>68</v>
      </c>
      <c r="C45" t="s">
        <v>67</v>
      </c>
      <c r="D45" t="s">
        <v>69</v>
      </c>
      <c r="E45">
        <v>1</v>
      </c>
    </row>
    <row r="46" spans="1:5" x14ac:dyDescent="0.25">
      <c r="B46" t="s">
        <v>122</v>
      </c>
      <c r="C46" t="s">
        <v>121</v>
      </c>
      <c r="D46" t="s">
        <v>123</v>
      </c>
      <c r="E46">
        <v>1</v>
      </c>
    </row>
    <row r="47" spans="1:5" x14ac:dyDescent="0.25">
      <c r="B47" t="s">
        <v>125</v>
      </c>
      <c r="C47" t="s">
        <v>124</v>
      </c>
      <c r="D47" t="s">
        <v>126</v>
      </c>
      <c r="E47">
        <v>1</v>
      </c>
    </row>
    <row r="48" spans="1:5" x14ac:dyDescent="0.25">
      <c r="B48" t="s">
        <v>7</v>
      </c>
      <c r="C48" t="s">
        <v>379</v>
      </c>
      <c r="D48" t="s">
        <v>378</v>
      </c>
      <c r="E48">
        <v>1</v>
      </c>
    </row>
    <row r="49" spans="1:5" x14ac:dyDescent="0.25">
      <c r="B49" t="s">
        <v>8</v>
      </c>
      <c r="C49" t="s">
        <v>381</v>
      </c>
      <c r="D49" t="s">
        <v>380</v>
      </c>
      <c r="E49">
        <v>1</v>
      </c>
    </row>
    <row r="50" spans="1:5" x14ac:dyDescent="0.25">
      <c r="B50" t="s">
        <v>9</v>
      </c>
      <c r="C50" t="s">
        <v>382</v>
      </c>
      <c r="D50" t="s">
        <v>382</v>
      </c>
      <c r="E50">
        <v>1</v>
      </c>
    </row>
    <row r="51" spans="1:5" x14ac:dyDescent="0.25">
      <c r="B51" t="s">
        <v>661</v>
      </c>
      <c r="C51" t="s">
        <v>654</v>
      </c>
      <c r="D51" t="s">
        <v>668</v>
      </c>
      <c r="E51">
        <v>1</v>
      </c>
    </row>
    <row r="52" spans="1:5" x14ac:dyDescent="0.25">
      <c r="B52" t="s">
        <v>662</v>
      </c>
      <c r="C52" t="s">
        <v>655</v>
      </c>
      <c r="D52" t="s">
        <v>669</v>
      </c>
      <c r="E52">
        <v>1</v>
      </c>
    </row>
    <row r="53" spans="1:5" x14ac:dyDescent="0.25">
      <c r="A53" t="s">
        <v>564</v>
      </c>
      <c r="B53" t="s">
        <v>132</v>
      </c>
      <c r="C53" t="s">
        <v>131</v>
      </c>
      <c r="D53" t="s">
        <v>133</v>
      </c>
      <c r="E53">
        <v>1</v>
      </c>
    </row>
    <row r="54" spans="1:5" x14ac:dyDescent="0.25">
      <c r="B54" t="s">
        <v>135</v>
      </c>
      <c r="C54" t="s">
        <v>134</v>
      </c>
      <c r="D54" t="s">
        <v>136</v>
      </c>
      <c r="E54">
        <v>1</v>
      </c>
    </row>
    <row r="55" spans="1:5" x14ac:dyDescent="0.25">
      <c r="B55" t="s">
        <v>138</v>
      </c>
      <c r="C55" t="s">
        <v>137</v>
      </c>
      <c r="D55" t="s">
        <v>139</v>
      </c>
      <c r="E55">
        <v>1</v>
      </c>
    </row>
    <row r="56" spans="1:5" x14ac:dyDescent="0.25">
      <c r="B56" t="s">
        <v>141</v>
      </c>
      <c r="C56" t="s">
        <v>140</v>
      </c>
      <c r="D56" t="s">
        <v>142</v>
      </c>
      <c r="E56">
        <v>1</v>
      </c>
    </row>
    <row r="57" spans="1:5" x14ac:dyDescent="0.25">
      <c r="A57" t="s">
        <v>399</v>
      </c>
      <c r="B57" t="s">
        <v>399</v>
      </c>
      <c r="C57" t="s">
        <v>399</v>
      </c>
      <c r="D57" t="s">
        <v>399</v>
      </c>
    </row>
    <row r="58" spans="1:5" x14ac:dyDescent="0.25">
      <c r="A58" t="s">
        <v>557</v>
      </c>
      <c r="B58" t="s">
        <v>186</v>
      </c>
      <c r="C58" t="s">
        <v>185</v>
      </c>
      <c r="D58" t="s">
        <v>187</v>
      </c>
      <c r="E58">
        <v>1</v>
      </c>
    </row>
    <row r="59" spans="1:5" x14ac:dyDescent="0.25">
      <c r="B59" t="s">
        <v>189</v>
      </c>
      <c r="C59" t="s">
        <v>188</v>
      </c>
      <c r="D59" t="s">
        <v>190</v>
      </c>
      <c r="E59">
        <v>1</v>
      </c>
    </row>
    <row r="60" spans="1:5" x14ac:dyDescent="0.25">
      <c r="B60" t="s">
        <v>192</v>
      </c>
      <c r="C60" t="s">
        <v>191</v>
      </c>
      <c r="D60" t="s">
        <v>193</v>
      </c>
      <c r="E60">
        <v>1</v>
      </c>
    </row>
    <row r="61" spans="1:5" x14ac:dyDescent="0.25">
      <c r="B61" t="s">
        <v>195</v>
      </c>
      <c r="C61" t="s">
        <v>194</v>
      </c>
      <c r="D61" t="s">
        <v>196</v>
      </c>
      <c r="E61">
        <v>1</v>
      </c>
    </row>
    <row r="62" spans="1:5" x14ac:dyDescent="0.25">
      <c r="B62" t="s">
        <v>198</v>
      </c>
      <c r="C62" t="s">
        <v>197</v>
      </c>
      <c r="D62" t="s">
        <v>199</v>
      </c>
      <c r="E62">
        <v>1</v>
      </c>
    </row>
    <row r="63" spans="1:5" x14ac:dyDescent="0.25">
      <c r="B63" t="s">
        <v>201</v>
      </c>
      <c r="C63" t="s">
        <v>200</v>
      </c>
      <c r="D63" t="s">
        <v>202</v>
      </c>
      <c r="E63">
        <v>1</v>
      </c>
    </row>
    <row r="64" spans="1:5" x14ac:dyDescent="0.25">
      <c r="B64" t="s">
        <v>204</v>
      </c>
      <c r="C64" t="s">
        <v>203</v>
      </c>
      <c r="D64" t="s">
        <v>205</v>
      </c>
      <c r="E64">
        <v>1</v>
      </c>
    </row>
    <row r="65" spans="1:5" x14ac:dyDescent="0.25">
      <c r="B65" t="s">
        <v>207</v>
      </c>
      <c r="C65" t="s">
        <v>206</v>
      </c>
      <c r="D65" t="s">
        <v>208</v>
      </c>
      <c r="E65">
        <v>1</v>
      </c>
    </row>
    <row r="66" spans="1:5" x14ac:dyDescent="0.25">
      <c r="A66" t="s">
        <v>402</v>
      </c>
      <c r="B66" t="s">
        <v>16</v>
      </c>
      <c r="C66" t="s">
        <v>15</v>
      </c>
      <c r="D66" t="s">
        <v>17</v>
      </c>
      <c r="E66">
        <v>1</v>
      </c>
    </row>
    <row r="67" spans="1:5" x14ac:dyDescent="0.25">
      <c r="B67" t="s">
        <v>22</v>
      </c>
      <c r="C67" t="s">
        <v>21</v>
      </c>
      <c r="D67" t="s">
        <v>23</v>
      </c>
      <c r="E67">
        <v>1</v>
      </c>
    </row>
    <row r="68" spans="1:5" x14ac:dyDescent="0.25">
      <c r="B68" t="s">
        <v>43</v>
      </c>
      <c r="C68" t="s">
        <v>42</v>
      </c>
      <c r="D68" t="s">
        <v>44</v>
      </c>
      <c r="E68">
        <v>1</v>
      </c>
    </row>
    <row r="69" spans="1:5" x14ac:dyDescent="0.25">
      <c r="B69" t="s">
        <v>57</v>
      </c>
      <c r="C69" t="s">
        <v>56</v>
      </c>
      <c r="D69" t="s">
        <v>58</v>
      </c>
      <c r="E69">
        <v>1</v>
      </c>
    </row>
    <row r="70" spans="1:5" x14ac:dyDescent="0.25">
      <c r="B70" t="s">
        <v>128</v>
      </c>
      <c r="C70" t="s">
        <v>127</v>
      </c>
      <c r="D70" t="s">
        <v>129</v>
      </c>
      <c r="E70">
        <v>1</v>
      </c>
    </row>
    <row r="71" spans="1:5" x14ac:dyDescent="0.25">
      <c r="B71" t="s">
        <v>433</v>
      </c>
      <c r="C71" t="s">
        <v>434</v>
      </c>
      <c r="D71" t="s">
        <v>436</v>
      </c>
      <c r="E71">
        <v>1</v>
      </c>
    </row>
    <row r="72" spans="1:5" x14ac:dyDescent="0.25">
      <c r="A72" t="s">
        <v>563</v>
      </c>
      <c r="B72" t="s">
        <v>104</v>
      </c>
      <c r="C72" t="s">
        <v>103</v>
      </c>
      <c r="D72" t="s">
        <v>105</v>
      </c>
      <c r="E72">
        <v>1</v>
      </c>
    </row>
    <row r="73" spans="1:5" x14ac:dyDescent="0.25">
      <c r="B73" t="s">
        <v>116</v>
      </c>
      <c r="C73" t="s">
        <v>115</v>
      </c>
      <c r="D73" t="s">
        <v>117</v>
      </c>
      <c r="E73">
        <v>1</v>
      </c>
    </row>
    <row r="74" spans="1:5" x14ac:dyDescent="0.25">
      <c r="B74" t="s">
        <v>119</v>
      </c>
      <c r="C74" t="s">
        <v>118</v>
      </c>
      <c r="D74" t="s">
        <v>120</v>
      </c>
      <c r="E74">
        <v>1</v>
      </c>
    </row>
    <row r="75" spans="1:5" x14ac:dyDescent="0.25">
      <c r="A75" t="s">
        <v>565</v>
      </c>
      <c r="B75" t="s">
        <v>303</v>
      </c>
      <c r="C75" t="s">
        <v>302</v>
      </c>
      <c r="D75" t="s">
        <v>304</v>
      </c>
      <c r="E75">
        <v>1</v>
      </c>
    </row>
    <row r="76" spans="1:5" x14ac:dyDescent="0.25">
      <c r="B76" t="s">
        <v>306</v>
      </c>
      <c r="C76" t="s">
        <v>305</v>
      </c>
      <c r="D76" t="s">
        <v>307</v>
      </c>
      <c r="E76">
        <v>1</v>
      </c>
    </row>
    <row r="77" spans="1:5" x14ac:dyDescent="0.25">
      <c r="B77" t="s">
        <v>309</v>
      </c>
      <c r="C77" t="s">
        <v>308</v>
      </c>
      <c r="D77" t="s">
        <v>310</v>
      </c>
      <c r="E77">
        <v>1</v>
      </c>
    </row>
    <row r="78" spans="1:5" x14ac:dyDescent="0.25">
      <c r="B78" t="s">
        <v>312</v>
      </c>
      <c r="C78" t="s">
        <v>311</v>
      </c>
      <c r="D78" t="s">
        <v>313</v>
      </c>
      <c r="E78">
        <v>1</v>
      </c>
    </row>
    <row r="79" spans="1:5" x14ac:dyDescent="0.25">
      <c r="B79" t="s">
        <v>315</v>
      </c>
      <c r="C79" t="s">
        <v>314</v>
      </c>
      <c r="D79" t="s">
        <v>316</v>
      </c>
      <c r="E79">
        <v>1</v>
      </c>
    </row>
    <row r="80" spans="1:5" x14ac:dyDescent="0.25">
      <c r="B80" t="s">
        <v>318</v>
      </c>
      <c r="C80" t="s">
        <v>317</v>
      </c>
      <c r="D80" t="s">
        <v>319</v>
      </c>
      <c r="E80">
        <v>1</v>
      </c>
    </row>
    <row r="81" spans="1:5" x14ac:dyDescent="0.25">
      <c r="B81" t="s">
        <v>321</v>
      </c>
      <c r="C81" t="s">
        <v>320</v>
      </c>
      <c r="D81" t="s">
        <v>322</v>
      </c>
      <c r="E81">
        <v>1</v>
      </c>
    </row>
    <row r="82" spans="1:5" x14ac:dyDescent="0.25">
      <c r="B82" t="s">
        <v>324</v>
      </c>
      <c r="C82" t="s">
        <v>323</v>
      </c>
      <c r="D82" t="s">
        <v>325</v>
      </c>
      <c r="E82">
        <v>1</v>
      </c>
    </row>
    <row r="83" spans="1:5" x14ac:dyDescent="0.25">
      <c r="B83" t="s">
        <v>327</v>
      </c>
      <c r="C83" t="s">
        <v>326</v>
      </c>
      <c r="D83" t="s">
        <v>328</v>
      </c>
      <c r="E83">
        <v>1</v>
      </c>
    </row>
    <row r="84" spans="1:5" x14ac:dyDescent="0.25">
      <c r="B84" t="s">
        <v>330</v>
      </c>
      <c r="C84" t="s">
        <v>329</v>
      </c>
      <c r="D84" t="s">
        <v>331</v>
      </c>
      <c r="E84">
        <v>1</v>
      </c>
    </row>
    <row r="85" spans="1:5" x14ac:dyDescent="0.25">
      <c r="B85" t="s">
        <v>333</v>
      </c>
      <c r="C85" t="s">
        <v>332</v>
      </c>
      <c r="D85" t="s">
        <v>334</v>
      </c>
      <c r="E85">
        <v>1</v>
      </c>
    </row>
    <row r="86" spans="1:5" x14ac:dyDescent="0.25">
      <c r="B86" t="s">
        <v>442</v>
      </c>
      <c r="C86" t="s">
        <v>444</v>
      </c>
      <c r="D86" t="s">
        <v>446</v>
      </c>
      <c r="E86">
        <v>1</v>
      </c>
    </row>
    <row r="87" spans="1:5" x14ac:dyDescent="0.25">
      <c r="B87" t="s">
        <v>443</v>
      </c>
      <c r="C87" t="s">
        <v>445</v>
      </c>
      <c r="D87" t="s">
        <v>447</v>
      </c>
      <c r="E87">
        <v>1</v>
      </c>
    </row>
    <row r="88" spans="1:5" x14ac:dyDescent="0.25">
      <c r="A88" t="s">
        <v>567</v>
      </c>
      <c r="B88" t="s">
        <v>145</v>
      </c>
      <c r="C88" t="s">
        <v>144</v>
      </c>
      <c r="D88" t="s">
        <v>146</v>
      </c>
      <c r="E88">
        <v>1</v>
      </c>
    </row>
    <row r="89" spans="1:5" x14ac:dyDescent="0.25">
      <c r="B89" t="s">
        <v>151</v>
      </c>
      <c r="C89" t="s">
        <v>150</v>
      </c>
      <c r="D89" t="s">
        <v>152</v>
      </c>
      <c r="E89">
        <v>1</v>
      </c>
    </row>
    <row r="90" spans="1:5" x14ac:dyDescent="0.25">
      <c r="B90" t="s">
        <v>154</v>
      </c>
      <c r="C90" t="s">
        <v>153</v>
      </c>
      <c r="D90" t="s">
        <v>155</v>
      </c>
      <c r="E90">
        <v>1</v>
      </c>
    </row>
    <row r="91" spans="1:5" x14ac:dyDescent="0.25">
      <c r="B91" t="s">
        <v>157</v>
      </c>
      <c r="C91" t="s">
        <v>156</v>
      </c>
      <c r="D91" t="s">
        <v>158</v>
      </c>
      <c r="E91">
        <v>1</v>
      </c>
    </row>
    <row r="92" spans="1:5" x14ac:dyDescent="0.25">
      <c r="B92" t="s">
        <v>160</v>
      </c>
      <c r="C92" t="s">
        <v>159</v>
      </c>
      <c r="D92" t="s">
        <v>161</v>
      </c>
      <c r="E92">
        <v>1</v>
      </c>
    </row>
    <row r="93" spans="1:5" x14ac:dyDescent="0.25">
      <c r="B93" t="s">
        <v>163</v>
      </c>
      <c r="C93" t="s">
        <v>162</v>
      </c>
      <c r="D93" t="s">
        <v>164</v>
      </c>
      <c r="E93">
        <v>1</v>
      </c>
    </row>
    <row r="94" spans="1:5" x14ac:dyDescent="0.25">
      <c r="B94" t="s">
        <v>166</v>
      </c>
      <c r="C94" t="s">
        <v>165</v>
      </c>
      <c r="D94" t="s">
        <v>167</v>
      </c>
      <c r="E94">
        <v>1</v>
      </c>
    </row>
    <row r="95" spans="1:5" x14ac:dyDescent="0.25">
      <c r="B95" t="s">
        <v>169</v>
      </c>
      <c r="C95" t="s">
        <v>168</v>
      </c>
      <c r="D95" t="s">
        <v>170</v>
      </c>
      <c r="E95">
        <v>1</v>
      </c>
    </row>
    <row r="96" spans="1:5" x14ac:dyDescent="0.25">
      <c r="B96" t="s">
        <v>172</v>
      </c>
      <c r="C96" t="s">
        <v>171</v>
      </c>
      <c r="D96" t="s">
        <v>173</v>
      </c>
      <c r="E96">
        <v>1</v>
      </c>
    </row>
    <row r="97" spans="1:5" x14ac:dyDescent="0.25">
      <c r="B97" t="s">
        <v>175</v>
      </c>
      <c r="C97" t="s">
        <v>174</v>
      </c>
      <c r="D97" t="s">
        <v>176</v>
      </c>
      <c r="E97">
        <v>1</v>
      </c>
    </row>
    <row r="98" spans="1:5" x14ac:dyDescent="0.25">
      <c r="B98" t="s">
        <v>182</v>
      </c>
      <c r="C98" t="s">
        <v>181</v>
      </c>
      <c r="D98" t="s">
        <v>183</v>
      </c>
      <c r="E98">
        <v>1</v>
      </c>
    </row>
    <row r="99" spans="1:5" x14ac:dyDescent="0.25">
      <c r="B99" t="s">
        <v>519</v>
      </c>
      <c r="C99" t="s">
        <v>513</v>
      </c>
      <c r="D99" t="s">
        <v>516</v>
      </c>
      <c r="E99">
        <v>1</v>
      </c>
    </row>
    <row r="100" spans="1:5" x14ac:dyDescent="0.25">
      <c r="B100" t="s">
        <v>520</v>
      </c>
      <c r="C100" t="s">
        <v>514</v>
      </c>
      <c r="D100" t="s">
        <v>517</v>
      </c>
      <c r="E100">
        <v>1</v>
      </c>
    </row>
    <row r="101" spans="1:5" x14ac:dyDescent="0.25">
      <c r="B101" t="s">
        <v>521</v>
      </c>
      <c r="C101" t="s">
        <v>515</v>
      </c>
      <c r="D101" t="s">
        <v>518</v>
      </c>
      <c r="E101">
        <v>1</v>
      </c>
    </row>
    <row r="102" spans="1:5" x14ac:dyDescent="0.25">
      <c r="A102" t="s">
        <v>408</v>
      </c>
      <c r="B102" t="s">
        <v>148</v>
      </c>
      <c r="C102" t="s">
        <v>147</v>
      </c>
      <c r="D102" t="s">
        <v>149</v>
      </c>
      <c r="E102">
        <v>1</v>
      </c>
    </row>
    <row r="103" spans="1:5" x14ac:dyDescent="0.25">
      <c r="B103" t="s">
        <v>178</v>
      </c>
      <c r="C103" t="s">
        <v>177</v>
      </c>
      <c r="D103" t="s">
        <v>179</v>
      </c>
      <c r="E103">
        <v>1</v>
      </c>
    </row>
    <row r="104" spans="1:5" x14ac:dyDescent="0.25">
      <c r="A104" t="s">
        <v>569</v>
      </c>
      <c r="B104" t="s">
        <v>524</v>
      </c>
      <c r="C104" t="s">
        <v>525</v>
      </c>
      <c r="D104" t="s">
        <v>532</v>
      </c>
      <c r="E104">
        <v>1</v>
      </c>
    </row>
    <row r="105" spans="1:5" x14ac:dyDescent="0.25">
      <c r="B105" t="s">
        <v>526</v>
      </c>
      <c r="C105" t="s">
        <v>527</v>
      </c>
      <c r="D105" t="s">
        <v>533</v>
      </c>
      <c r="E105">
        <v>1</v>
      </c>
    </row>
    <row r="106" spans="1:5" x14ac:dyDescent="0.25">
      <c r="B106" t="s">
        <v>528</v>
      </c>
      <c r="C106" t="s">
        <v>529</v>
      </c>
      <c r="D106" t="s">
        <v>534</v>
      </c>
      <c r="E106">
        <v>1</v>
      </c>
    </row>
    <row r="107" spans="1:5" x14ac:dyDescent="0.25">
      <c r="B107" t="s">
        <v>530</v>
      </c>
      <c r="C107" t="s">
        <v>531</v>
      </c>
      <c r="D107" t="s">
        <v>535</v>
      </c>
      <c r="E107">
        <v>1</v>
      </c>
    </row>
    <row r="108" spans="1:5" x14ac:dyDescent="0.25">
      <c r="A108" t="s">
        <v>562</v>
      </c>
      <c r="B108" t="s">
        <v>95</v>
      </c>
      <c r="C108" t="s">
        <v>94</v>
      </c>
      <c r="D108" t="s">
        <v>96</v>
      </c>
      <c r="E108">
        <v>1</v>
      </c>
    </row>
    <row r="109" spans="1:5" x14ac:dyDescent="0.25">
      <c r="B109" t="s">
        <v>98</v>
      </c>
      <c r="C109" t="s">
        <v>97</v>
      </c>
      <c r="D109" t="s">
        <v>99</v>
      </c>
      <c r="E109">
        <v>1</v>
      </c>
    </row>
    <row r="110" spans="1:5" x14ac:dyDescent="0.25">
      <c r="B110" t="s">
        <v>101</v>
      </c>
      <c r="C110" t="s">
        <v>100</v>
      </c>
      <c r="D110" t="s">
        <v>102</v>
      </c>
      <c r="E110">
        <v>1</v>
      </c>
    </row>
    <row r="111" spans="1:5" x14ac:dyDescent="0.25">
      <c r="B111" t="s">
        <v>107</v>
      </c>
      <c r="C111" t="s">
        <v>106</v>
      </c>
      <c r="D111" t="s">
        <v>108</v>
      </c>
      <c r="E111">
        <v>1</v>
      </c>
    </row>
    <row r="112" spans="1:5" x14ac:dyDescent="0.25">
      <c r="B112" t="s">
        <v>110</v>
      </c>
      <c r="C112" t="s">
        <v>109</v>
      </c>
      <c r="D112" t="s">
        <v>111</v>
      </c>
      <c r="E112">
        <v>1</v>
      </c>
    </row>
    <row r="113" spans="1:5" x14ac:dyDescent="0.25">
      <c r="B113" t="s">
        <v>113</v>
      </c>
      <c r="C113" t="s">
        <v>112</v>
      </c>
      <c r="D113" t="s">
        <v>114</v>
      </c>
      <c r="E113">
        <v>1</v>
      </c>
    </row>
    <row r="114" spans="1:5" x14ac:dyDescent="0.25">
      <c r="B114" t="s">
        <v>656</v>
      </c>
      <c r="C114" t="s">
        <v>649</v>
      </c>
      <c r="D114" t="s">
        <v>663</v>
      </c>
      <c r="E114">
        <v>1</v>
      </c>
    </row>
    <row r="115" spans="1:5" x14ac:dyDescent="0.25">
      <c r="B115" t="s">
        <v>660</v>
      </c>
      <c r="C115" t="s">
        <v>653</v>
      </c>
      <c r="D115" t="s">
        <v>667</v>
      </c>
      <c r="E115">
        <v>1</v>
      </c>
    </row>
    <row r="116" spans="1:5" x14ac:dyDescent="0.25">
      <c r="A116" t="s">
        <v>566</v>
      </c>
      <c r="B116" t="s">
        <v>440</v>
      </c>
      <c r="C116" t="s">
        <v>441</v>
      </c>
      <c r="D116" t="s">
        <v>632</v>
      </c>
      <c r="E116">
        <v>1</v>
      </c>
    </row>
    <row r="117" spans="1:5" x14ac:dyDescent="0.25">
      <c r="B117" t="s">
        <v>474</v>
      </c>
      <c r="C117" t="s">
        <v>481</v>
      </c>
      <c r="D117" t="s">
        <v>494</v>
      </c>
      <c r="E117">
        <v>1</v>
      </c>
    </row>
    <row r="118" spans="1:5" x14ac:dyDescent="0.25">
      <c r="B118" t="s">
        <v>475</v>
      </c>
      <c r="C118" t="s">
        <v>482</v>
      </c>
      <c r="D118" t="s">
        <v>493</v>
      </c>
      <c r="E118">
        <v>1</v>
      </c>
    </row>
    <row r="119" spans="1:5" x14ac:dyDescent="0.25">
      <c r="B119" t="s">
        <v>476</v>
      </c>
      <c r="C119" t="s">
        <v>483</v>
      </c>
      <c r="D119" t="s">
        <v>492</v>
      </c>
      <c r="E119">
        <v>1</v>
      </c>
    </row>
    <row r="120" spans="1:5" x14ac:dyDescent="0.25">
      <c r="B120" t="s">
        <v>477</v>
      </c>
      <c r="C120" t="s">
        <v>484</v>
      </c>
      <c r="D120" t="s">
        <v>491</v>
      </c>
      <c r="E120">
        <v>1</v>
      </c>
    </row>
    <row r="121" spans="1:5" x14ac:dyDescent="0.25">
      <c r="B121" t="s">
        <v>478</v>
      </c>
      <c r="C121" t="s">
        <v>485</v>
      </c>
      <c r="D121" t="s">
        <v>490</v>
      </c>
      <c r="E121">
        <v>1</v>
      </c>
    </row>
    <row r="122" spans="1:5" x14ac:dyDescent="0.25">
      <c r="B122" t="s">
        <v>479</v>
      </c>
      <c r="C122" t="s">
        <v>486</v>
      </c>
      <c r="D122" t="s">
        <v>489</v>
      </c>
      <c r="E122">
        <v>1</v>
      </c>
    </row>
    <row r="123" spans="1:5" x14ac:dyDescent="0.25">
      <c r="B123" t="s">
        <v>480</v>
      </c>
      <c r="C123" t="s">
        <v>487</v>
      </c>
      <c r="D123" t="s">
        <v>488</v>
      </c>
      <c r="E123">
        <v>1</v>
      </c>
    </row>
    <row r="124" spans="1:5" x14ac:dyDescent="0.25">
      <c r="B124" t="s">
        <v>497</v>
      </c>
      <c r="C124" t="s">
        <v>499</v>
      </c>
      <c r="D124" t="s">
        <v>501</v>
      </c>
      <c r="E124">
        <v>1</v>
      </c>
    </row>
    <row r="125" spans="1:5" x14ac:dyDescent="0.25">
      <c r="B125" t="s">
        <v>498</v>
      </c>
      <c r="C125" t="s">
        <v>500</v>
      </c>
      <c r="D125" t="s">
        <v>502</v>
      </c>
      <c r="E125">
        <v>1</v>
      </c>
    </row>
    <row r="126" spans="1:5" x14ac:dyDescent="0.25">
      <c r="A126" t="s">
        <v>560</v>
      </c>
      <c r="B126" t="s">
        <v>65</v>
      </c>
      <c r="C126" t="s">
        <v>470</v>
      </c>
      <c r="D126" t="s">
        <v>66</v>
      </c>
      <c r="E126">
        <v>1</v>
      </c>
    </row>
    <row r="127" spans="1:5" x14ac:dyDescent="0.25">
      <c r="B127" t="s">
        <v>74</v>
      </c>
      <c r="C127" t="s">
        <v>73</v>
      </c>
      <c r="D127" t="s">
        <v>75</v>
      </c>
      <c r="E127">
        <v>1</v>
      </c>
    </row>
    <row r="128" spans="1:5" x14ac:dyDescent="0.25">
      <c r="B128" t="s">
        <v>89</v>
      </c>
      <c r="C128" t="s">
        <v>88</v>
      </c>
      <c r="D128" t="s">
        <v>90</v>
      </c>
      <c r="E128">
        <v>1</v>
      </c>
    </row>
    <row r="129" spans="1:5" x14ac:dyDescent="0.25">
      <c r="B129" t="s">
        <v>92</v>
      </c>
      <c r="C129" t="s">
        <v>91</v>
      </c>
      <c r="D129" t="s">
        <v>93</v>
      </c>
      <c r="E129">
        <v>1</v>
      </c>
    </row>
    <row r="130" spans="1:5" x14ac:dyDescent="0.25">
      <c r="B130" t="s">
        <v>658</v>
      </c>
      <c r="C130" t="s">
        <v>651</v>
      </c>
      <c r="D130" t="s">
        <v>665</v>
      </c>
      <c r="E130">
        <v>1</v>
      </c>
    </row>
    <row r="131" spans="1:5" x14ac:dyDescent="0.25">
      <c r="B131" t="s">
        <v>659</v>
      </c>
      <c r="C131" t="s">
        <v>652</v>
      </c>
      <c r="D131" t="s">
        <v>666</v>
      </c>
      <c r="E131">
        <v>1</v>
      </c>
    </row>
    <row r="132" spans="1:5" x14ac:dyDescent="0.25">
      <c r="A132" t="s">
        <v>568</v>
      </c>
      <c r="B132" t="s">
        <v>212</v>
      </c>
      <c r="C132" t="s">
        <v>211</v>
      </c>
      <c r="D132" t="s">
        <v>213</v>
      </c>
      <c r="E132">
        <v>1</v>
      </c>
    </row>
    <row r="133" spans="1:5" x14ac:dyDescent="0.25">
      <c r="B133" t="s">
        <v>215</v>
      </c>
      <c r="C133" t="s">
        <v>214</v>
      </c>
      <c r="D133" t="s">
        <v>216</v>
      </c>
      <c r="E133">
        <v>1</v>
      </c>
    </row>
    <row r="134" spans="1:5" x14ac:dyDescent="0.25">
      <c r="B134" t="s">
        <v>209</v>
      </c>
      <c r="C134" t="s">
        <v>371</v>
      </c>
      <c r="D134" t="s">
        <v>370</v>
      </c>
      <c r="E134">
        <v>1</v>
      </c>
    </row>
    <row r="135" spans="1:5" x14ac:dyDescent="0.25">
      <c r="B135" t="s">
        <v>218</v>
      </c>
      <c r="C135" t="s">
        <v>217</v>
      </c>
      <c r="D135" t="s">
        <v>372</v>
      </c>
      <c r="E135">
        <v>1</v>
      </c>
    </row>
    <row r="136" spans="1:5" x14ac:dyDescent="0.25">
      <c r="B136" t="s">
        <v>220</v>
      </c>
      <c r="C136" t="s">
        <v>219</v>
      </c>
      <c r="D136" t="s">
        <v>221</v>
      </c>
      <c r="E136">
        <v>1</v>
      </c>
    </row>
    <row r="137" spans="1:5" x14ac:dyDescent="0.25">
      <c r="B137" t="s">
        <v>223</v>
      </c>
      <c r="C137" t="s">
        <v>222</v>
      </c>
      <c r="D137" t="s">
        <v>224</v>
      </c>
      <c r="E137">
        <v>1</v>
      </c>
    </row>
    <row r="138" spans="1:5" x14ac:dyDescent="0.25">
      <c r="B138" t="s">
        <v>226</v>
      </c>
      <c r="C138" t="s">
        <v>225</v>
      </c>
      <c r="D138" t="s">
        <v>227</v>
      </c>
      <c r="E138">
        <v>1</v>
      </c>
    </row>
    <row r="139" spans="1:5" x14ac:dyDescent="0.25">
      <c r="A139" t="s">
        <v>572</v>
      </c>
      <c r="B139" t="s">
        <v>252</v>
      </c>
      <c r="C139" t="s">
        <v>251</v>
      </c>
      <c r="D139" t="s">
        <v>253</v>
      </c>
      <c r="E139">
        <v>1</v>
      </c>
    </row>
    <row r="140" spans="1:5" x14ac:dyDescent="0.25">
      <c r="B140" t="s">
        <v>255</v>
      </c>
      <c r="C140" t="s">
        <v>254</v>
      </c>
      <c r="D140" t="s">
        <v>256</v>
      </c>
      <c r="E140">
        <v>1</v>
      </c>
    </row>
    <row r="141" spans="1:5" x14ac:dyDescent="0.25">
      <c r="B141" t="s">
        <v>258</v>
      </c>
      <c r="C141" t="s">
        <v>257</v>
      </c>
      <c r="D141" t="s">
        <v>259</v>
      </c>
      <c r="E141">
        <v>1</v>
      </c>
    </row>
    <row r="142" spans="1:5" x14ac:dyDescent="0.25">
      <c r="B142" t="s">
        <v>261</v>
      </c>
      <c r="C142" t="s">
        <v>260</v>
      </c>
      <c r="D142" t="s">
        <v>262</v>
      </c>
      <c r="E142">
        <v>1</v>
      </c>
    </row>
    <row r="143" spans="1:5" x14ac:dyDescent="0.25">
      <c r="B143" t="s">
        <v>264</v>
      </c>
      <c r="C143" t="s">
        <v>263</v>
      </c>
      <c r="D143" t="s">
        <v>265</v>
      </c>
      <c r="E143">
        <v>1</v>
      </c>
    </row>
    <row r="144" spans="1:5" x14ac:dyDescent="0.25">
      <c r="B144" t="s">
        <v>267</v>
      </c>
      <c r="C144" t="s">
        <v>266</v>
      </c>
      <c r="D144" t="s">
        <v>268</v>
      </c>
      <c r="E144">
        <v>1</v>
      </c>
    </row>
    <row r="145" spans="2:5" x14ac:dyDescent="0.25">
      <c r="B145" t="s">
        <v>270</v>
      </c>
      <c r="C145" t="s">
        <v>269</v>
      </c>
      <c r="D145" t="s">
        <v>271</v>
      </c>
      <c r="E145">
        <v>1</v>
      </c>
    </row>
    <row r="146" spans="2:5" x14ac:dyDescent="0.25">
      <c r="B146" t="s">
        <v>273</v>
      </c>
      <c r="C146" t="s">
        <v>272</v>
      </c>
      <c r="D146" t="s">
        <v>274</v>
      </c>
      <c r="E146">
        <v>1</v>
      </c>
    </row>
    <row r="147" spans="2:5" x14ac:dyDescent="0.25">
      <c r="B147" t="s">
        <v>276</v>
      </c>
      <c r="C147" t="s">
        <v>275</v>
      </c>
      <c r="D147" t="s">
        <v>277</v>
      </c>
      <c r="E147">
        <v>1</v>
      </c>
    </row>
    <row r="148" spans="2:5" x14ac:dyDescent="0.25">
      <c r="B148" t="s">
        <v>279</v>
      </c>
      <c r="C148" t="s">
        <v>278</v>
      </c>
      <c r="D148" t="s">
        <v>280</v>
      </c>
      <c r="E148">
        <v>1</v>
      </c>
    </row>
    <row r="149" spans="2:5" x14ac:dyDescent="0.25">
      <c r="B149" t="s">
        <v>282</v>
      </c>
      <c r="C149" t="s">
        <v>281</v>
      </c>
      <c r="D149" t="s">
        <v>283</v>
      </c>
      <c r="E149">
        <v>1</v>
      </c>
    </row>
    <row r="150" spans="2:5" x14ac:dyDescent="0.25">
      <c r="B150" t="s">
        <v>285</v>
      </c>
      <c r="C150" t="s">
        <v>284</v>
      </c>
      <c r="D150" t="s">
        <v>340</v>
      </c>
      <c r="E150">
        <v>1</v>
      </c>
    </row>
    <row r="151" spans="2:5" x14ac:dyDescent="0.25">
      <c r="B151" t="s">
        <v>287</v>
      </c>
      <c r="C151" t="s">
        <v>286</v>
      </c>
      <c r="D151" t="s">
        <v>288</v>
      </c>
      <c r="E151">
        <v>1</v>
      </c>
    </row>
    <row r="152" spans="2:5" x14ac:dyDescent="0.25">
      <c r="B152" t="s">
        <v>290</v>
      </c>
      <c r="C152" t="s">
        <v>289</v>
      </c>
      <c r="D152" t="s">
        <v>291</v>
      </c>
      <c r="E152">
        <v>1</v>
      </c>
    </row>
    <row r="153" spans="2:5" x14ac:dyDescent="0.25">
      <c r="B153" t="s">
        <v>293</v>
      </c>
      <c r="C153" t="s">
        <v>292</v>
      </c>
      <c r="D153" t="s">
        <v>294</v>
      </c>
      <c r="E153">
        <v>1</v>
      </c>
    </row>
    <row r="154" spans="2:5" x14ac:dyDescent="0.25">
      <c r="B154" t="s">
        <v>296</v>
      </c>
      <c r="C154" t="s">
        <v>295</v>
      </c>
      <c r="D154" t="s">
        <v>297</v>
      </c>
      <c r="E154">
        <v>1</v>
      </c>
    </row>
    <row r="155" spans="2:5" x14ac:dyDescent="0.25">
      <c r="B155" t="s">
        <v>299</v>
      </c>
      <c r="C155" t="s">
        <v>298</v>
      </c>
      <c r="D155" t="s">
        <v>300</v>
      </c>
      <c r="E155">
        <v>1</v>
      </c>
    </row>
    <row r="156" spans="2:5" x14ac:dyDescent="0.25">
      <c r="B156" t="s">
        <v>343</v>
      </c>
      <c r="C156" t="s">
        <v>341</v>
      </c>
      <c r="D156" t="s">
        <v>342</v>
      </c>
      <c r="E156">
        <v>1</v>
      </c>
    </row>
    <row r="157" spans="2:5" x14ac:dyDescent="0.25">
      <c r="B157" t="s">
        <v>344</v>
      </c>
      <c r="C157" t="s">
        <v>345</v>
      </c>
      <c r="D157" t="s">
        <v>346</v>
      </c>
      <c r="E157">
        <v>1</v>
      </c>
    </row>
    <row r="158" spans="2:5" x14ac:dyDescent="0.25">
      <c r="B158" t="s">
        <v>349</v>
      </c>
      <c r="C158" t="s">
        <v>348</v>
      </c>
      <c r="D158" t="s">
        <v>347</v>
      </c>
      <c r="E158">
        <v>1</v>
      </c>
    </row>
    <row r="159" spans="2:5" x14ac:dyDescent="0.25">
      <c r="B159" t="s">
        <v>350</v>
      </c>
      <c r="C159" t="s">
        <v>351</v>
      </c>
      <c r="D159" t="s">
        <v>352</v>
      </c>
      <c r="E159">
        <v>1</v>
      </c>
    </row>
    <row r="160" spans="2:5" x14ac:dyDescent="0.25">
      <c r="B160" t="s">
        <v>355</v>
      </c>
      <c r="C160" t="s">
        <v>354</v>
      </c>
      <c r="D160" t="s">
        <v>353</v>
      </c>
      <c r="E160">
        <v>1</v>
      </c>
    </row>
    <row r="161" spans="1:5" x14ac:dyDescent="0.25">
      <c r="B161" t="s">
        <v>356</v>
      </c>
      <c r="C161" t="s">
        <v>357</v>
      </c>
      <c r="D161" t="s">
        <v>358</v>
      </c>
      <c r="E161">
        <v>1</v>
      </c>
    </row>
    <row r="162" spans="1:5" x14ac:dyDescent="0.25">
      <c r="B162" t="s">
        <v>361</v>
      </c>
      <c r="C162" t="s">
        <v>360</v>
      </c>
      <c r="D162" t="s">
        <v>359</v>
      </c>
      <c r="E162">
        <v>1</v>
      </c>
    </row>
    <row r="163" spans="1:5" x14ac:dyDescent="0.25">
      <c r="B163" t="s">
        <v>362</v>
      </c>
      <c r="C163" t="s">
        <v>363</v>
      </c>
      <c r="D163" t="s">
        <v>364</v>
      </c>
      <c r="E163">
        <v>1</v>
      </c>
    </row>
    <row r="164" spans="1:5" x14ac:dyDescent="0.25">
      <c r="B164" t="s">
        <v>366</v>
      </c>
      <c r="C164" t="s">
        <v>365</v>
      </c>
      <c r="D164" t="s">
        <v>365</v>
      </c>
      <c r="E164">
        <v>1</v>
      </c>
    </row>
    <row r="165" spans="1:5" x14ac:dyDescent="0.25">
      <c r="B165" t="s">
        <v>510</v>
      </c>
      <c r="C165" t="s">
        <v>548</v>
      </c>
      <c r="D165" t="s">
        <v>549</v>
      </c>
      <c r="E165">
        <v>1</v>
      </c>
    </row>
    <row r="166" spans="1:5" x14ac:dyDescent="0.25">
      <c r="A166" t="s">
        <v>646</v>
      </c>
      <c r="B166" t="s">
        <v>637</v>
      </c>
      <c r="C166" t="s">
        <v>640</v>
      </c>
      <c r="D166" t="s">
        <v>643</v>
      </c>
      <c r="E166">
        <v>1</v>
      </c>
    </row>
    <row r="167" spans="1:5" x14ac:dyDescent="0.25">
      <c r="B167" t="s">
        <v>638</v>
      </c>
      <c r="C167" t="s">
        <v>641</v>
      </c>
      <c r="D167" t="s">
        <v>644</v>
      </c>
      <c r="E167">
        <v>1</v>
      </c>
    </row>
    <row r="168" spans="1:5" x14ac:dyDescent="0.25">
      <c r="B168" t="s">
        <v>639</v>
      </c>
      <c r="C168" t="s">
        <v>642</v>
      </c>
      <c r="D168" t="s">
        <v>645</v>
      </c>
      <c r="E168">
        <v>1</v>
      </c>
    </row>
    <row r="169" spans="1:5" x14ac:dyDescent="0.25">
      <c r="B169" t="s">
        <v>671</v>
      </c>
      <c r="C169" t="s">
        <v>672</v>
      </c>
      <c r="D169" t="s">
        <v>673</v>
      </c>
      <c r="E169">
        <v>1</v>
      </c>
    </row>
    <row r="170" spans="1:5" x14ac:dyDescent="0.25">
      <c r="B170" t="s">
        <v>674</v>
      </c>
      <c r="C170" t="s">
        <v>678</v>
      </c>
      <c r="D170" t="s">
        <v>677</v>
      </c>
      <c r="E170">
        <v>1</v>
      </c>
    </row>
    <row r="171" spans="1:5" x14ac:dyDescent="0.25">
      <c r="B171" t="s">
        <v>675</v>
      </c>
      <c r="C171" t="s">
        <v>679</v>
      </c>
      <c r="D171" t="s">
        <v>680</v>
      </c>
      <c r="E171">
        <v>1</v>
      </c>
    </row>
    <row r="172" spans="1:5" x14ac:dyDescent="0.25">
      <c r="B172" t="s">
        <v>676</v>
      </c>
      <c r="C172" t="s">
        <v>681</v>
      </c>
      <c r="D172" t="s">
        <v>682</v>
      </c>
      <c r="E172">
        <v>1</v>
      </c>
    </row>
    <row r="173" spans="1:5" x14ac:dyDescent="0.25">
      <c r="A173" t="s">
        <v>634</v>
      </c>
      <c r="B173" t="s">
        <v>448</v>
      </c>
      <c r="C173" t="s">
        <v>454</v>
      </c>
      <c r="D173" t="s">
        <v>460</v>
      </c>
      <c r="E173">
        <v>1</v>
      </c>
    </row>
    <row r="174" spans="1:5" x14ac:dyDescent="0.25">
      <c r="B174" t="s">
        <v>449</v>
      </c>
      <c r="C174" t="s">
        <v>455</v>
      </c>
      <c r="D174" t="s">
        <v>461</v>
      </c>
      <c r="E174">
        <v>1</v>
      </c>
    </row>
    <row r="175" spans="1:5" x14ac:dyDescent="0.25">
      <c r="B175" t="s">
        <v>450</v>
      </c>
      <c r="C175" t="s">
        <v>456</v>
      </c>
      <c r="D175" t="s">
        <v>462</v>
      </c>
      <c r="E175">
        <v>1</v>
      </c>
    </row>
    <row r="176" spans="1:5" x14ac:dyDescent="0.25">
      <c r="B176" t="s">
        <v>451</v>
      </c>
      <c r="C176" t="s">
        <v>457</v>
      </c>
      <c r="D176" t="s">
        <v>463</v>
      </c>
      <c r="E176">
        <v>1</v>
      </c>
    </row>
    <row r="177" spans="1:5" x14ac:dyDescent="0.25">
      <c r="B177" t="s">
        <v>452</v>
      </c>
      <c r="C177" t="s">
        <v>458</v>
      </c>
      <c r="D177" t="s">
        <v>464</v>
      </c>
      <c r="E177">
        <v>1</v>
      </c>
    </row>
    <row r="178" spans="1:5" x14ac:dyDescent="0.25">
      <c r="B178" t="s">
        <v>453</v>
      </c>
      <c r="C178" t="s">
        <v>459</v>
      </c>
      <c r="D178" t="s">
        <v>465</v>
      </c>
      <c r="E178">
        <v>1</v>
      </c>
    </row>
    <row r="179" spans="1:5" x14ac:dyDescent="0.25">
      <c r="A179" t="s">
        <v>400</v>
      </c>
      <c r="E179">
        <v>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3:E16"/>
  <sheetViews>
    <sheetView topLeftCell="C1" workbookViewId="0">
      <selection activeCell="E19" sqref="E19"/>
    </sheetView>
  </sheetViews>
  <sheetFormatPr defaultRowHeight="15" x14ac:dyDescent="0.25"/>
  <cols>
    <col min="1" max="1" width="21" bestFit="1" customWidth="1"/>
    <col min="2" max="2" width="18.7109375" bestFit="1" customWidth="1"/>
    <col min="3" max="3" width="29.7109375" bestFit="1" customWidth="1"/>
    <col min="4" max="4" width="46.5703125" bestFit="1" customWidth="1"/>
    <col min="5" max="5" width="46.7109375" bestFit="1" customWidth="1"/>
  </cols>
  <sheetData>
    <row r="3" spans="1:5" x14ac:dyDescent="0.25">
      <c r="A3" s="3" t="s">
        <v>1</v>
      </c>
      <c r="B3" s="3" t="s">
        <v>397</v>
      </c>
      <c r="C3" s="3" t="s">
        <v>2</v>
      </c>
      <c r="D3" s="3" t="s">
        <v>396</v>
      </c>
      <c r="E3" s="3" t="s">
        <v>4</v>
      </c>
    </row>
    <row r="4" spans="1:5" x14ac:dyDescent="0.25">
      <c r="A4" t="s">
        <v>336</v>
      </c>
      <c r="B4" t="s">
        <v>561</v>
      </c>
      <c r="C4" t="s">
        <v>382</v>
      </c>
      <c r="D4" t="s">
        <v>610</v>
      </c>
      <c r="E4" t="s">
        <v>382</v>
      </c>
    </row>
    <row r="5" spans="1:5" x14ac:dyDescent="0.25">
      <c r="C5" t="s">
        <v>381</v>
      </c>
      <c r="D5" t="s">
        <v>472</v>
      </c>
      <c r="E5" t="s">
        <v>380</v>
      </c>
    </row>
    <row r="6" spans="1:5" x14ac:dyDescent="0.25">
      <c r="C6" t="s">
        <v>36</v>
      </c>
      <c r="D6" t="s">
        <v>551</v>
      </c>
      <c r="E6" t="s">
        <v>38</v>
      </c>
    </row>
    <row r="7" spans="1:5" x14ac:dyDescent="0.25">
      <c r="C7" t="s">
        <v>33</v>
      </c>
      <c r="D7" t="s">
        <v>605</v>
      </c>
      <c r="E7" t="s">
        <v>35</v>
      </c>
    </row>
    <row r="8" spans="1:5" x14ac:dyDescent="0.25">
      <c r="C8" t="s">
        <v>18</v>
      </c>
      <c r="D8" t="s">
        <v>550</v>
      </c>
      <c r="E8" t="s">
        <v>20</v>
      </c>
    </row>
    <row r="9" spans="1:5" x14ac:dyDescent="0.25">
      <c r="C9" t="s">
        <v>30</v>
      </c>
      <c r="D9" t="s">
        <v>604</v>
      </c>
      <c r="E9" t="s">
        <v>32</v>
      </c>
    </row>
    <row r="10" spans="1:5" x14ac:dyDescent="0.25">
      <c r="C10" t="s">
        <v>379</v>
      </c>
      <c r="D10" t="s">
        <v>609</v>
      </c>
      <c r="E10" t="s">
        <v>378</v>
      </c>
    </row>
    <row r="11" spans="1:5" x14ac:dyDescent="0.25">
      <c r="C11" t="s">
        <v>124</v>
      </c>
      <c r="D11" t="s">
        <v>608</v>
      </c>
      <c r="E11" t="s">
        <v>126</v>
      </c>
    </row>
    <row r="12" spans="1:5" x14ac:dyDescent="0.25">
      <c r="C12" t="s">
        <v>121</v>
      </c>
      <c r="D12" t="s">
        <v>607</v>
      </c>
      <c r="E12" t="s">
        <v>123</v>
      </c>
    </row>
    <row r="13" spans="1:5" x14ac:dyDescent="0.25">
      <c r="C13" t="s">
        <v>62</v>
      </c>
      <c r="D13" t="s">
        <v>606</v>
      </c>
      <c r="E13" t="s">
        <v>64</v>
      </c>
    </row>
    <row r="14" spans="1:5" x14ac:dyDescent="0.25">
      <c r="C14" t="s">
        <v>654</v>
      </c>
      <c r="D14" t="s">
        <v>399</v>
      </c>
      <c r="E14" t="s">
        <v>668</v>
      </c>
    </row>
    <row r="15" spans="1:5" x14ac:dyDescent="0.25">
      <c r="C15" t="s">
        <v>655</v>
      </c>
      <c r="D15" t="s">
        <v>399</v>
      </c>
      <c r="E15" t="s">
        <v>669</v>
      </c>
    </row>
    <row r="16" spans="1:5" x14ac:dyDescent="0.25">
      <c r="A16" t="s">
        <v>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dcbc3be-e07a-48a6-bc14-0602fd2a711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ABB03E4A6D374DBD782164D1628017" ma:contentTypeVersion="12" ma:contentTypeDescription="Create a new document." ma:contentTypeScope="" ma:versionID="871f451887a2a6614351acac3cdd725a">
  <xsd:schema xmlns:xsd="http://www.w3.org/2001/XMLSchema" xmlns:xs="http://www.w3.org/2001/XMLSchema" xmlns:p="http://schemas.microsoft.com/office/2006/metadata/properties" xmlns:ns3="7dcbc3be-e07a-48a6-bc14-0602fd2a7117" targetNamespace="http://schemas.microsoft.com/office/2006/metadata/properties" ma:root="true" ma:fieldsID="2822409febfc4254a6423bc9ebda087c" ns3:_="">
    <xsd:import namespace="7dcbc3be-e07a-48a6-bc14-0602fd2a711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ObjectDetectorVersions" minOccurs="0"/>
                <xsd:element ref="ns3:MediaServiceSystemTag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bc3be-e07a-48a6-bc14-0602fd2a71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019D76-5CEB-40AE-9D02-606F33B03512}">
  <ds:schemaRefs>
    <ds:schemaRef ds:uri="http://purl.org/dc/terms/"/>
    <ds:schemaRef ds:uri="http://schemas.microsoft.com/office/infopath/2007/PartnerControls"/>
    <ds:schemaRef ds:uri="http://schemas.microsoft.com/office/2006/metadata/properties"/>
    <ds:schemaRef ds:uri="http://schemas.microsoft.com/office/2006/documentManagement/types"/>
    <ds:schemaRef ds:uri="http://purl.org/dc/dcmitype/"/>
    <ds:schemaRef ds:uri="http://purl.org/dc/elements/1.1/"/>
    <ds:schemaRef ds:uri="http://schemas.openxmlformats.org/package/2006/metadata/core-properties"/>
    <ds:schemaRef ds:uri="7dcbc3be-e07a-48a6-bc14-0602fd2a7117"/>
    <ds:schemaRef ds:uri="http://www.w3.org/XML/1998/namespace"/>
  </ds:schemaRefs>
</ds:datastoreItem>
</file>

<file path=customXml/itemProps2.xml><?xml version="1.0" encoding="utf-8"?>
<ds:datastoreItem xmlns:ds="http://schemas.openxmlformats.org/officeDocument/2006/customXml" ds:itemID="{04003DA7-D44B-4497-B841-356BFE456281}">
  <ds:schemaRefs>
    <ds:schemaRef ds:uri="http://schemas.microsoft.com/sharepoint/v3/contenttype/forms"/>
  </ds:schemaRefs>
</ds:datastoreItem>
</file>

<file path=customXml/itemProps3.xml><?xml version="1.0" encoding="utf-8"?>
<ds:datastoreItem xmlns:ds="http://schemas.openxmlformats.org/officeDocument/2006/customXml" ds:itemID="{D871828D-D2B0-43D0-82DD-05B836C88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bc3be-e07a-48a6-bc14-0602fd2a71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IBS NL62</cp:lastModifiedBy>
  <dcterms:created xsi:type="dcterms:W3CDTF">2023-02-07T20:30:54Z</dcterms:created>
  <dcterms:modified xsi:type="dcterms:W3CDTF">2026-04-02T17:23:26Z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0x010100EDABB03E4A6D374DBD782164D1628017</vt:lpwstr>
  </property>
</Properties>
</file>